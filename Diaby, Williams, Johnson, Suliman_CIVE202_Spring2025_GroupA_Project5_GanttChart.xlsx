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uofnelincoln-my.sharepoint.com/personal/kdiaby2_unl_edu/Documents/CIVE ANALYSIS/Project 5 (Group A)/"/>
    </mc:Choice>
  </mc:AlternateContent>
  <xr:revisionPtr revIDLastSave="111" documentId="8_{A376095A-ACB5-4EE1-8632-668B4E347B46}" xr6:coauthVersionLast="47" xr6:coauthVersionMax="47" xr10:uidLastSave="{0F6B557C-4080-41F9-A34C-97070954C438}"/>
  <bookViews>
    <workbookView xWindow="-98" yWindow="-98" windowWidth="21795" windowHeight="12975" xr2:uid="{C4384354-7671-4C9A-B380-87157980708D}"/>
  </bookViews>
  <sheets>
    <sheet name="Project schedule" sheetId="2" r:id="rId1"/>
    <sheet name="Sheet1" sheetId="1" r:id="rId2"/>
  </sheets>
  <definedNames>
    <definedName name="Display_Week">'Project schedule'!$Q$2</definedName>
    <definedName name="_xlnm.Print_Titles" localSheetId="0">'Project schedule'!$4:$6</definedName>
    <definedName name="Project_Start" localSheetId="0">'Project schedule'!$Q$1</definedName>
    <definedName name="Project_Start">#REF!</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8" i="2"/>
  <c r="H27" i="2"/>
  <c r="H25" i="2"/>
  <c r="H24" i="2"/>
  <c r="H23" i="2"/>
  <c r="H22" i="2"/>
  <c r="H19" i="2"/>
  <c r="H17" i="2"/>
  <c r="H16" i="2"/>
  <c r="H15" i="2"/>
  <c r="H13" i="2"/>
  <c r="H12" i="2"/>
  <c r="H11" i="2"/>
  <c r="H10" i="2"/>
  <c r="H9" i="2"/>
  <c r="H8" i="2"/>
  <c r="H7" i="2"/>
  <c r="I5" i="2"/>
  <c r="J5" i="2" s="1"/>
  <c r="I4" i="2" l="1"/>
  <c r="I6" i="2"/>
  <c r="K5" i="2"/>
  <c r="J6" i="2"/>
  <c r="K6" i="2" l="1"/>
  <c r="L5" i="2"/>
  <c r="L6" i="2" l="1"/>
  <c r="M5" i="2"/>
  <c r="M6" i="2" l="1"/>
  <c r="N5" i="2"/>
  <c r="N6" i="2" l="1"/>
  <c r="O5" i="2"/>
  <c r="O6" i="2" l="1"/>
  <c r="P5" i="2"/>
  <c r="P6" i="2" l="1"/>
  <c r="P4" i="2"/>
  <c r="Q5" i="2"/>
  <c r="Q6" i="2" l="1"/>
  <c r="R5" i="2"/>
  <c r="R6" i="2" l="1"/>
  <c r="S5" i="2"/>
  <c r="S6" i="2" l="1"/>
  <c r="T5" i="2"/>
  <c r="U5" i="2" l="1"/>
  <c r="T6" i="2"/>
  <c r="V5" i="2" l="1"/>
  <c r="U6" i="2"/>
  <c r="W5" i="2" l="1"/>
  <c r="V6" i="2"/>
  <c r="X5" i="2" l="1"/>
  <c r="W4" i="2"/>
  <c r="W6" i="2"/>
  <c r="Y5" i="2" l="1"/>
  <c r="X6" i="2"/>
  <c r="Z5" i="2" l="1"/>
  <c r="Y6" i="2"/>
  <c r="AA5" i="2" l="1"/>
  <c r="Z6" i="2"/>
  <c r="AA6" i="2" l="1"/>
  <c r="AB5" i="2"/>
  <c r="AB6" i="2" l="1"/>
  <c r="AC5" i="2"/>
  <c r="AC6" i="2" l="1"/>
  <c r="AD5" i="2"/>
  <c r="AD6" i="2" l="1"/>
  <c r="AD4" i="2"/>
  <c r="AE5" i="2"/>
  <c r="AE6" i="2" l="1"/>
  <c r="AF5" i="2"/>
  <c r="AF6" i="2" l="1"/>
  <c r="AG5" i="2"/>
  <c r="AG6" i="2" l="1"/>
  <c r="AH5" i="2"/>
  <c r="AH6" i="2" l="1"/>
  <c r="AI5" i="2"/>
  <c r="AI6" i="2" l="1"/>
  <c r="AJ5" i="2"/>
  <c r="AK5" i="2" l="1"/>
  <c r="AJ6" i="2"/>
  <c r="AL5" i="2" l="1"/>
  <c r="AK4" i="2"/>
  <c r="AK6" i="2"/>
  <c r="AM5" i="2" l="1"/>
  <c r="AL6" i="2"/>
  <c r="AN5" i="2" l="1"/>
  <c r="AM6" i="2"/>
  <c r="AO5" i="2" l="1"/>
  <c r="AN6" i="2"/>
  <c r="AP5" i="2" l="1"/>
  <c r="AO6" i="2"/>
  <c r="AQ5" i="2" l="1"/>
  <c r="AP6" i="2"/>
  <c r="AQ6" i="2" l="1"/>
  <c r="AR5" i="2"/>
  <c r="AR4" i="2" l="1"/>
  <c r="AR6" i="2"/>
  <c r="AS5" i="2"/>
  <c r="AS6" i="2" l="1"/>
  <c r="AT5" i="2"/>
  <c r="AT6" i="2" l="1"/>
  <c r="AU5" i="2"/>
  <c r="AU6" i="2" l="1"/>
  <c r="AV5" i="2"/>
  <c r="AV6" i="2" l="1"/>
  <c r="AW5" i="2"/>
  <c r="AW6" i="2" l="1"/>
  <c r="AX5" i="2"/>
  <c r="AY5" i="2" l="1"/>
  <c r="AX6" i="2"/>
  <c r="AY6" i="2" l="1"/>
  <c r="AY4" i="2"/>
  <c r="AZ5" i="2"/>
  <c r="BA5" i="2" l="1"/>
  <c r="AZ6" i="2"/>
  <c r="BB5" i="2" l="1"/>
  <c r="BA6" i="2"/>
  <c r="BC5" i="2" l="1"/>
  <c r="BB6" i="2"/>
  <c r="BD5" i="2" l="1"/>
  <c r="BC6" i="2"/>
  <c r="BE5" i="2" l="1"/>
  <c r="BD6" i="2"/>
  <c r="BF5" i="2" l="1"/>
  <c r="BE6" i="2"/>
  <c r="BG5" i="2" l="1"/>
  <c r="BF4" i="2"/>
  <c r="BF6" i="2"/>
  <c r="BG6" i="2" l="1"/>
  <c r="BH5" i="2"/>
  <c r="BH6" i="2" l="1"/>
  <c r="BI5" i="2"/>
  <c r="BI6" i="2" l="1"/>
  <c r="BJ5" i="2"/>
  <c r="BJ6" i="2" l="1"/>
  <c r="BK5" i="2"/>
  <c r="BK6" i="2" l="1"/>
  <c r="BL5" i="2"/>
  <c r="BL6" i="2" s="1"/>
</calcChain>
</file>

<file path=xl/sharedStrings.xml><?xml version="1.0" encoding="utf-8"?>
<sst xmlns="http://schemas.openxmlformats.org/spreadsheetml/2006/main" count="50" uniqueCount="41">
  <si>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</si>
  <si>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</si>
  <si>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</si>
  <si>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</si>
  <si>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</si>
  <si>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</si>
  <si>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</si>
  <si>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</si>
  <si>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Timesheet</t>
  </si>
  <si>
    <t>Week 1</t>
  </si>
  <si>
    <t>Week 2</t>
  </si>
  <si>
    <t>Python Code</t>
  </si>
  <si>
    <t>All</t>
  </si>
  <si>
    <t>Khadijath Diaby</t>
  </si>
  <si>
    <t>Finalize Code</t>
  </si>
  <si>
    <t>Submittal</t>
  </si>
  <si>
    <t>Summary and Report</t>
  </si>
  <si>
    <t>Scope of Work</t>
  </si>
  <si>
    <t>Gantt Chart</t>
  </si>
  <si>
    <t xml:space="preserve">Annotated Code </t>
  </si>
  <si>
    <t>Insert new rows ABOVE this one</t>
  </si>
  <si>
    <t xml:space="preserve">Project leads: Khadijath Diaby, Mallory Williams, </t>
  </si>
  <si>
    <t>Lilee Johnson, &amp; Manal Suliman</t>
  </si>
  <si>
    <t>Project Outline</t>
  </si>
  <si>
    <t>Khadijath Diaby &amp; Lilee Johnson</t>
  </si>
  <si>
    <t>Read in Country and Region Datasets (csv files)</t>
  </si>
  <si>
    <t>Manal Suliman</t>
  </si>
  <si>
    <t>Clean/Organize Datasets</t>
  </si>
  <si>
    <t>Time Series Plots</t>
  </si>
  <si>
    <t>Interactive Graphs</t>
  </si>
  <si>
    <t>Mallory Williams</t>
  </si>
  <si>
    <t>Lilee Johnson</t>
  </si>
  <si>
    <t>Manal Suliman &amp; Mallory Williams</t>
  </si>
  <si>
    <t>CIVE 202 Project #5</t>
  </si>
  <si>
    <t>The Water Project</t>
  </si>
  <si>
    <t>Create Relevant Informative Tables</t>
  </si>
  <si>
    <t>Week 3</t>
  </si>
  <si>
    <t>E</t>
  </si>
  <si>
    <t>Tech and Non-tech Summaries</t>
  </si>
  <si>
    <t>Pre-Lab and Post-Lab</t>
  </si>
  <si>
    <t>Reflection of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</si>
</sst>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m/d/yyyy"/>
    <numFmt numFmtId="165" formatCode="mmm\ d\,\ yyyy"/>
    <numFmt numFmtId="166" formatCode="d"/>
    <numFmt numFmtId="167" formatCode="m/d/yy;@"/>
  </numFmts>
  <fonts count="26" x14ac:knownFonts="1">
    <font>
      <sz val="11"/>
      <color theme="1"/>
      <name val="Aptos Narrow"/>
      <family val="2"/>
      <scheme val="minor"/>
    </font>
    <font>
      <sz val="11"/>
      <color theme="1"/>
      <name val="Aptos Narrow"/>
      <family val="2"/>
      <scheme val="minor"/>
    </font>
    <font>
      <sz val="11"/>
      <color theme="0"/>
      <name val="Aptos Narrow"/>
      <family val="2"/>
      <scheme val="minor"/>
    </font>
    <font>
      <b/>
      <sz val="22"/>
      <color theme="1" tint="0.34998626667073579"/>
      <name val="Aptos Display"/>
      <family val="2"/>
      <scheme val="major"/>
    </font>
    <font>
      <b/>
      <sz val="36"/>
      <color theme="9"/>
      <name val="Aptos Display"/>
      <family val="2"/>
      <scheme val="major"/>
    </font>
    <font>
      <b/>
      <sz val="20"/>
      <color theme="4" tint="-0.249977111117893"/>
      <name val="Arial"/>
      <family val="2"/>
    </font>
    <font>
      <sz val="10"/>
      <name val="Arial"/>
      <family val="2"/>
    </font>
    <font>
      <sz val="10"/>
      <name val="Aptos Narrow"/>
      <family val="2"/>
      <scheme val="minor"/>
    </font>
    <font>
      <b/>
      <sz val="16"/>
      <color theme="9"/>
      <name val="Aptos Narrow"/>
      <family val="2"/>
      <scheme val="minor"/>
    </font>
    <font>
      <sz val="16"/>
      <color theme="1"/>
      <name val="Aptos Narrow"/>
      <family val="2"/>
      <scheme val="minor"/>
    </font>
    <font>
      <b/>
      <sz val="16"/>
      <color theme="9"/>
      <name val="Aptos Display"/>
      <family val="2"/>
      <scheme val="major"/>
    </font>
    <font>
      <sz val="11"/>
      <color theme="1"/>
      <name val="Aptos Display"/>
      <family val="2"/>
      <scheme val="major"/>
    </font>
    <font>
      <sz val="14"/>
      <color theme="1"/>
      <name val="Aptos Narrow"/>
      <family val="2"/>
      <scheme val="minor"/>
    </font>
    <font>
      <sz val="11"/>
      <color theme="1"/>
      <name val="Arial"/>
      <family val="2"/>
    </font>
    <font>
      <b/>
      <sz val="11"/>
      <name val="Aptos Narrow"/>
      <family val="2"/>
      <scheme val="minor"/>
    </font>
    <font>
      <u/>
      <sz val="11"/>
      <color indexed="12"/>
      <name val="Arial"/>
      <family val="2"/>
    </font>
    <font>
      <sz val="10"/>
      <color theme="1"/>
      <name val="Aptos Narrow"/>
      <family val="2"/>
      <scheme val="minor"/>
    </font>
    <font>
      <b/>
      <sz val="10"/>
      <color theme="1"/>
      <name val="Aptos Narrow"/>
      <family val="2"/>
      <scheme val="minor"/>
    </font>
    <font>
      <b/>
      <sz val="8"/>
      <name val="Aptos Narrow"/>
      <family val="2"/>
      <scheme val="minor"/>
    </font>
    <font>
      <b/>
      <sz val="8"/>
      <color theme="1"/>
      <name val="Aptos Narrow"/>
      <family val="2"/>
      <scheme val="minor"/>
    </font>
    <font>
      <b/>
      <sz val="12"/>
      <color theme="1"/>
      <name val="Aptos Narrow"/>
      <family val="2"/>
      <scheme val="minor"/>
    </font>
    <font>
      <sz val="11"/>
      <name val="Aptos Narrow"/>
      <family val="2"/>
      <scheme val="minor"/>
    </font>
    <font>
      <i/>
      <sz val="10"/>
      <color theme="1"/>
      <name val="Aptos Narrow"/>
      <family val="2"/>
      <scheme val="minor"/>
    </font>
    <font>
      <sz val="10"/>
      <color theme="1" tint="0.499984740745262"/>
      <name val="Aptos Narrow"/>
      <family val="2"/>
      <scheme val="minor"/>
    </font>
    <font>
      <b/>
      <sz val="11"/>
      <color theme="1" tint="0.499984740745262"/>
      <name val="Aptos Narrow"/>
      <family val="2"/>
      <scheme val="minor"/>
    </font>
    <font>
      <sz val="10"/>
      <color theme="1" tint="0.499984740745262"/>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theme="5" tint="0.59996337778862885"/>
        <bgColor indexed="64"/>
      </patternFill>
    </fill>
    <fill>
      <patternFill patternType="solid">
        <fgColor theme="5" tint="0.79998168889431442"/>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8" tint="0.59996337778862885"/>
        <bgColor indexed="64"/>
      </patternFill>
    </fill>
    <fill>
      <patternFill patternType="solid">
        <fgColor theme="8" tint="0.79998168889431442"/>
        <bgColor indexed="64"/>
      </patternFill>
    </fill>
  </fills>
  <borders count="2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style="thin">
        <color theme="0" tint="-0.14993743705557422"/>
      </left>
      <right style="thin">
        <color theme="0" tint="-0.14993743705557422"/>
      </right>
      <top/>
      <bottom/>
      <diagonal/>
    </border>
    <border>
      <left/>
      <right/>
      <top style="medium">
        <color theme="0" tint="-0.14996795556505021"/>
      </top>
      <bottom style="medium">
        <color theme="0" tint="-0.14996795556505021"/>
      </bottom>
      <diagonal/>
    </border>
    <border>
      <left/>
      <right/>
      <top style="thin">
        <color theme="0" tint="-4.9989318521683403E-2"/>
      </top>
      <bottom/>
      <diagonal/>
    </border>
    <border>
      <left/>
      <right/>
      <top/>
      <bottom style="thin">
        <color theme="4" tint="0.59996337778862885"/>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4" tint="0.59996337778862885"/>
      </top>
      <bottom style="thin">
        <color theme="4" tint="0.59996337778862885"/>
      </bottom>
      <diagonal/>
    </border>
    <border>
      <left/>
      <right/>
      <top style="thin">
        <color theme="5" tint="0.59996337778862885"/>
      </top>
      <bottom style="thin">
        <color theme="5" tint="0.59996337778862885"/>
      </bottom>
      <diagonal/>
    </border>
    <border>
      <left/>
      <right/>
      <top/>
      <bottom style="thin">
        <color theme="0" tint="-4.9989318521683403E-2"/>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right/>
      <top style="thin">
        <color theme="8" tint="0.59996337778862885"/>
      </top>
      <bottom style="thin">
        <color theme="8" tint="0.59996337778862885"/>
      </bottom>
      <diagonal/>
    </border>
  </borders>
  <cellStyleXfs count="12">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Protection="0">
      <alignment horizontal="right" indent="1"/>
    </xf>
    <xf numFmtId="164" fontId="1" fillId="0" borderId="1">
      <alignment horizontal="center" vertical="center"/>
    </xf>
    <xf numFmtId="0" fontId="12" fillId="0" borderId="0" applyNumberFormat="0" applyFill="0" applyAlignment="0" applyProtection="0"/>
    <xf numFmtId="0" fontId="12" fillId="0" borderId="0" applyNumberFormat="0" applyFill="0" applyProtection="0">
      <alignment vertical="top"/>
    </xf>
    <xf numFmtId="0" fontId="15" fillId="0" borderId="0" applyNumberFormat="0" applyFill="0" applyBorder="0" applyAlignment="0" applyProtection="0">
      <alignment vertical="top"/>
      <protection locked="0"/>
    </xf>
    <xf numFmtId="0" fontId="1" fillId="0" borderId="12" applyFill="0">
      <alignment horizontal="center" vertical="center"/>
    </xf>
    <xf numFmtId="0" fontId="1" fillId="0" borderId="12" applyFill="0">
      <alignment horizontal="left" vertical="center" indent="2"/>
    </xf>
    <xf numFmtId="167" fontId="1" fillId="0" borderId="12" applyFill="0">
      <alignment horizontal="center" vertical="center"/>
    </xf>
  </cellStyleXfs>
  <cellXfs count="120">
    <xf numFmtId="0" fontId="0" fillId="0" borderId="0" xfId="0"/>
    <xf numFmtId="0" fontId="2" fillId="0" borderId="0" xfId="2" applyAlignment="1">
      <alignment wrapText="1"/>
    </xf>
    <xf numFmtId="0" fontId="4" fillId="0" borderId="0" xfId="3" applyFont="1" applyAlignment="1">
      <alignment horizontal="left"/>
    </xf>
    <xf numFmtId="0" fontId="5" fillId="0" borderId="0" xfId="0" applyFont="1"/>
    <xf numFmtId="0" fontId="6" fillId="0" borderId="0" xfId="0" applyFont="1"/>
    <xf numFmtId="0" fontId="6" fillId="0" borderId="0" xfId="0" applyFont="1" applyAlignment="1">
      <alignment horizontal="center"/>
    </xf>
    <xf numFmtId="0" fontId="6" fillId="0" borderId="0" xfId="0" applyFont="1" applyAlignment="1">
      <alignment horizontal="center" vertical="center"/>
    </xf>
    <xf numFmtId="0" fontId="7" fillId="0" borderId="0" xfId="0" applyFont="1"/>
    <xf numFmtId="0" fontId="1" fillId="0" borderId="0" xfId="0" applyFont="1"/>
    <xf numFmtId="0" fontId="9" fillId="0" borderId="0" xfId="0" applyFont="1"/>
    <xf numFmtId="0" fontId="2" fillId="0" borderId="0" xfId="2"/>
    <xf numFmtId="0" fontId="8" fillId="0" borderId="0" xfId="6" applyFont="1" applyAlignment="1">
      <alignment horizontal="left" vertical="center" indent="1"/>
    </xf>
    <xf numFmtId="0" fontId="8" fillId="0" borderId="0" xfId="7" applyFont="1" applyAlignment="1">
      <alignment horizontal="left" vertical="center" indent="1"/>
    </xf>
    <xf numFmtId="0" fontId="13" fillId="0" borderId="0" xfId="0" applyFont="1"/>
    <xf numFmtId="0" fontId="13" fillId="0" borderId="0" xfId="0" applyFont="1" applyAlignment="1">
      <alignment horizontal="center"/>
    </xf>
    <xf numFmtId="0" fontId="14" fillId="0" borderId="0" xfId="0" applyFont="1" applyAlignment="1">
      <alignment horizontal="left" indent="1"/>
    </xf>
    <xf numFmtId="0" fontId="1" fillId="0" borderId="0" xfId="4">
      <alignment horizontal="right" indent="1"/>
    </xf>
    <xf numFmtId="0" fontId="1" fillId="0" borderId="0" xfId="0" applyFont="1" applyAlignment="1">
      <alignment horizontal="center"/>
    </xf>
    <xf numFmtId="0" fontId="7" fillId="0" borderId="0" xfId="8" applyFont="1" applyAlignment="1" applyProtection="1">
      <alignment horizontal="left" vertical="top" indent="1"/>
    </xf>
    <xf numFmtId="0" fontId="1" fillId="0" borderId="0" xfId="0" applyFont="1" applyAlignment="1">
      <alignment horizontal="left" indent="1"/>
    </xf>
    <xf numFmtId="166" fontId="18" fillId="4" borderId="6" xfId="0" applyNumberFormat="1" applyFont="1" applyFill="1" applyBorder="1" applyAlignment="1">
      <alignment horizontal="center" vertical="center"/>
    </xf>
    <xf numFmtId="166" fontId="18" fillId="4" borderId="2" xfId="0" applyNumberFormat="1" applyFont="1" applyFill="1" applyBorder="1" applyAlignment="1">
      <alignment horizontal="center" vertical="center"/>
    </xf>
    <xf numFmtId="166" fontId="18" fillId="4" borderId="4" xfId="0" applyNumberFormat="1" applyFont="1" applyFill="1" applyBorder="1" applyAlignment="1">
      <alignment horizontal="center" vertical="center"/>
    </xf>
    <xf numFmtId="0" fontId="19" fillId="2" borderId="8" xfId="0" applyFont="1" applyFill="1" applyBorder="1" applyAlignment="1">
      <alignment horizontal="center" vertical="center" shrinkToFit="1"/>
    </xf>
    <xf numFmtId="0" fontId="19" fillId="2" borderId="9" xfId="0" applyFont="1" applyFill="1" applyBorder="1" applyAlignment="1">
      <alignment horizontal="center" vertical="center" shrinkToFit="1"/>
    </xf>
    <xf numFmtId="0" fontId="19" fillId="2" borderId="10" xfId="0" applyFont="1" applyFill="1" applyBorder="1" applyAlignment="1">
      <alignment horizontal="center" vertical="center" shrinkToFit="1"/>
    </xf>
    <xf numFmtId="0" fontId="16" fillId="0" borderId="0" xfId="0" applyFont="1"/>
    <xf numFmtId="0" fontId="16" fillId="0" borderId="0" xfId="0" applyFont="1" applyAlignment="1">
      <alignment wrapText="1"/>
    </xf>
    <xf numFmtId="0" fontId="1" fillId="0" borderId="11" xfId="0" applyFont="1" applyBorder="1" applyAlignment="1">
      <alignment vertical="center"/>
    </xf>
    <xf numFmtId="0" fontId="20" fillId="5" borderId="0" xfId="0" applyFont="1" applyFill="1" applyAlignment="1">
      <alignment horizontal="left" vertical="center" indent="1"/>
    </xf>
    <xf numFmtId="0" fontId="16" fillId="5" borderId="0" xfId="9" applyFont="1" applyFill="1" applyBorder="1" applyAlignment="1">
      <alignment vertical="center"/>
    </xf>
    <xf numFmtId="9" fontId="7" fillId="5" borderId="0" xfId="1" applyFont="1" applyFill="1" applyBorder="1" applyAlignment="1">
      <alignment horizontal="center" vertical="center"/>
    </xf>
    <xf numFmtId="167" fontId="16" fillId="5" borderId="0" xfId="0" applyNumberFormat="1" applyFont="1" applyFill="1" applyAlignment="1">
      <alignment horizontal="center" vertical="center"/>
    </xf>
    <xf numFmtId="167" fontId="7" fillId="5" borderId="0" xfId="0" applyNumberFormat="1" applyFont="1" applyFill="1" applyAlignment="1">
      <alignment horizontal="center" vertical="center"/>
    </xf>
    <xf numFmtId="0" fontId="21" fillId="0" borderId="0" xfId="0" applyFont="1" applyAlignment="1">
      <alignment horizontal="center" vertical="center"/>
    </xf>
    <xf numFmtId="0" fontId="21" fillId="0" borderId="12" xfId="0" applyFont="1" applyBorder="1" applyAlignment="1">
      <alignment horizontal="center" vertical="center"/>
    </xf>
    <xf numFmtId="0" fontId="1" fillId="0" borderId="13" xfId="0" applyFont="1" applyBorder="1" applyAlignment="1">
      <alignment vertical="center"/>
    </xf>
    <xf numFmtId="0" fontId="1" fillId="0" borderId="0" xfId="0" applyFont="1" applyAlignment="1">
      <alignment vertical="center"/>
    </xf>
    <xf numFmtId="0" fontId="16" fillId="6" borderId="14" xfId="10" applyFont="1" applyFill="1" applyBorder="1">
      <alignment horizontal="left" vertical="center" indent="2"/>
    </xf>
    <xf numFmtId="0" fontId="16" fillId="6" borderId="14" xfId="9" applyFont="1" applyFill="1" applyBorder="1">
      <alignment horizontal="center" vertical="center"/>
    </xf>
    <xf numFmtId="9" fontId="7" fillId="6" borderId="14" xfId="1" applyFont="1" applyFill="1" applyBorder="1" applyAlignment="1">
      <alignment horizontal="center" vertical="center"/>
    </xf>
    <xf numFmtId="167" fontId="16" fillId="6" borderId="14" xfId="11" applyFont="1" applyFill="1" applyBorder="1">
      <alignment horizontal="center" vertical="center"/>
    </xf>
    <xf numFmtId="0" fontId="1" fillId="0" borderId="15" xfId="0" applyFont="1" applyBorder="1" applyAlignment="1">
      <alignment vertical="center"/>
    </xf>
    <xf numFmtId="0" fontId="16" fillId="6" borderId="16" xfId="10" applyFont="1" applyFill="1" applyBorder="1">
      <alignment horizontal="left" vertical="center" indent="2"/>
    </xf>
    <xf numFmtId="0" fontId="16" fillId="6" borderId="16" xfId="9" applyFont="1" applyFill="1" applyBorder="1">
      <alignment horizontal="center" vertical="center"/>
    </xf>
    <xf numFmtId="9" fontId="7" fillId="6" borderId="16" xfId="1" applyFont="1" applyFill="1" applyBorder="1" applyAlignment="1">
      <alignment horizontal="center" vertical="center"/>
    </xf>
    <xf numFmtId="167" fontId="16" fillId="6" borderId="16" xfId="11" applyFont="1" applyFill="1" applyBorder="1">
      <alignment horizontal="center" vertical="center"/>
    </xf>
    <xf numFmtId="0" fontId="1" fillId="0" borderId="15" xfId="0" applyFont="1" applyBorder="1" applyAlignment="1">
      <alignment horizontal="right" vertical="center"/>
    </xf>
    <xf numFmtId="0" fontId="20" fillId="7" borderId="0" xfId="0" applyFont="1" applyFill="1" applyAlignment="1">
      <alignment horizontal="left" vertical="center" indent="1"/>
    </xf>
    <xf numFmtId="0" fontId="16" fillId="7" borderId="0" xfId="9" applyFont="1" applyFill="1" applyBorder="1">
      <alignment horizontal="center" vertical="center"/>
    </xf>
    <xf numFmtId="9" fontId="7" fillId="7" borderId="0" xfId="1" applyFont="1" applyFill="1" applyBorder="1" applyAlignment="1">
      <alignment horizontal="center" vertical="center"/>
    </xf>
    <xf numFmtId="167" fontId="16" fillId="7" borderId="0" xfId="0" applyNumberFormat="1" applyFont="1" applyFill="1" applyAlignment="1">
      <alignment horizontal="center" vertical="center"/>
    </xf>
    <xf numFmtId="167" fontId="7" fillId="7" borderId="0" xfId="0" applyNumberFormat="1" applyFont="1" applyFill="1" applyAlignment="1">
      <alignment horizontal="center" vertical="center"/>
    </xf>
    <xf numFmtId="0" fontId="16" fillId="8" borderId="17" xfId="10" applyFont="1" applyFill="1" applyBorder="1">
      <alignment horizontal="left" vertical="center" indent="2"/>
    </xf>
    <xf numFmtId="0" fontId="16" fillId="8" borderId="17" xfId="9" applyFont="1" applyFill="1" applyBorder="1">
      <alignment horizontal="center" vertical="center"/>
    </xf>
    <xf numFmtId="9" fontId="7" fillId="8" borderId="17" xfId="1" applyFont="1" applyFill="1" applyBorder="1" applyAlignment="1">
      <alignment horizontal="center" vertical="center"/>
    </xf>
    <xf numFmtId="167" fontId="16" fillId="8" borderId="17" xfId="11" applyFont="1" applyFill="1" applyBorder="1">
      <alignment horizontal="center" vertical="center"/>
    </xf>
    <xf numFmtId="167" fontId="16" fillId="8" borderId="16" xfId="11" applyFont="1" applyFill="1" applyBorder="1">
      <alignment horizontal="center" vertical="center"/>
    </xf>
    <xf numFmtId="0" fontId="20" fillId="9" borderId="0" xfId="0" applyFont="1" applyFill="1" applyAlignment="1">
      <alignment horizontal="left" vertical="center" indent="1"/>
    </xf>
    <xf numFmtId="0" fontId="16" fillId="9" borderId="0" xfId="9" applyFont="1" applyFill="1" applyBorder="1">
      <alignment horizontal="center" vertical="center"/>
    </xf>
    <xf numFmtId="9" fontId="7" fillId="9" borderId="0" xfId="1" applyFont="1" applyFill="1" applyBorder="1" applyAlignment="1">
      <alignment horizontal="center" vertical="center"/>
    </xf>
    <xf numFmtId="167" fontId="16" fillId="9" borderId="0" xfId="0" applyNumberFormat="1" applyFont="1" applyFill="1" applyAlignment="1">
      <alignment horizontal="center" vertical="center"/>
    </xf>
    <xf numFmtId="167" fontId="7" fillId="9" borderId="0" xfId="0" applyNumberFormat="1" applyFont="1" applyFill="1" applyAlignment="1">
      <alignment horizontal="center" vertical="center"/>
    </xf>
    <xf numFmtId="0" fontId="1" fillId="0" borderId="18" xfId="0" applyFont="1" applyBorder="1" applyAlignment="1">
      <alignment vertical="center"/>
    </xf>
    <xf numFmtId="0" fontId="16" fillId="10" borderId="19" xfId="10" applyFont="1" applyFill="1" applyBorder="1" applyAlignment="1">
      <alignment horizontal="left" vertical="center" wrapText="1" indent="2"/>
    </xf>
    <xf numFmtId="0" fontId="16" fillId="10" borderId="19" xfId="9" applyFont="1" applyFill="1" applyBorder="1">
      <alignment horizontal="center" vertical="center"/>
    </xf>
    <xf numFmtId="9" fontId="7" fillId="10" borderId="19" xfId="1" applyFont="1" applyFill="1" applyBorder="1" applyAlignment="1">
      <alignment horizontal="center" vertical="center"/>
    </xf>
    <xf numFmtId="167" fontId="16" fillId="10" borderId="19" xfId="11" applyFont="1" applyFill="1" applyBorder="1">
      <alignment horizontal="center" vertical="center"/>
    </xf>
    <xf numFmtId="167" fontId="16" fillId="10" borderId="16" xfId="11" applyFont="1" applyFill="1" applyBorder="1">
      <alignment horizontal="center" vertical="center"/>
    </xf>
    <xf numFmtId="0" fontId="16" fillId="10" borderId="19" xfId="10" applyFont="1" applyFill="1" applyBorder="1">
      <alignment horizontal="left" vertical="center" indent="2"/>
    </xf>
    <xf numFmtId="0" fontId="16" fillId="10" borderId="0" xfId="10" applyFont="1" applyFill="1" applyBorder="1">
      <alignment horizontal="left" vertical="center" indent="2"/>
    </xf>
    <xf numFmtId="0" fontId="16" fillId="10" borderId="0" xfId="9" applyFont="1" applyFill="1" applyBorder="1">
      <alignment horizontal="center" vertical="center"/>
    </xf>
    <xf numFmtId="9" fontId="7" fillId="10" borderId="0" xfId="1" applyFont="1" applyFill="1" applyBorder="1" applyAlignment="1">
      <alignment horizontal="center" vertical="center"/>
    </xf>
    <xf numFmtId="167" fontId="16" fillId="10" borderId="0" xfId="11" applyFont="1" applyFill="1" applyBorder="1">
      <alignment horizontal="center" vertical="center"/>
    </xf>
    <xf numFmtId="0" fontId="1" fillId="0" borderId="20" xfId="0" applyFont="1" applyBorder="1" applyAlignment="1">
      <alignment vertical="center"/>
    </xf>
    <xf numFmtId="0" fontId="20" fillId="11" borderId="0" xfId="0" applyFont="1" applyFill="1" applyAlignment="1">
      <alignment horizontal="left" vertical="center" indent="1"/>
    </xf>
    <xf numFmtId="0" fontId="16" fillId="11" borderId="0" xfId="9" applyFont="1" applyFill="1" applyBorder="1">
      <alignment horizontal="center" vertical="center"/>
    </xf>
    <xf numFmtId="9" fontId="7" fillId="11" borderId="0" xfId="1" applyFont="1" applyFill="1" applyBorder="1" applyAlignment="1">
      <alignment horizontal="center" vertical="center"/>
    </xf>
    <xf numFmtId="167" fontId="16" fillId="11" borderId="0" xfId="0" applyNumberFormat="1" applyFont="1" applyFill="1" applyAlignment="1">
      <alignment horizontal="center" vertical="center"/>
    </xf>
    <xf numFmtId="167" fontId="7" fillId="11" borderId="0" xfId="0" applyNumberFormat="1" applyFont="1" applyFill="1" applyAlignment="1">
      <alignment horizontal="center" vertical="center"/>
    </xf>
    <xf numFmtId="0" fontId="16" fillId="12" borderId="21" xfId="10" applyFont="1" applyFill="1" applyBorder="1">
      <alignment horizontal="left" vertical="center" indent="2"/>
    </xf>
    <xf numFmtId="0" fontId="16" fillId="12" borderId="21" xfId="9" applyFont="1" applyFill="1" applyBorder="1">
      <alignment horizontal="center" vertical="center"/>
    </xf>
    <xf numFmtId="9" fontId="7" fillId="12" borderId="21" xfId="1" applyFont="1" applyFill="1" applyBorder="1" applyAlignment="1">
      <alignment horizontal="center" vertical="center"/>
    </xf>
    <xf numFmtId="167" fontId="16" fillId="12" borderId="21" xfId="11" applyFont="1" applyFill="1" applyBorder="1">
      <alignment horizontal="center" vertical="center"/>
    </xf>
    <xf numFmtId="167" fontId="16" fillId="12" borderId="16" xfId="11" applyFont="1" applyFill="1" applyBorder="1">
      <alignment horizontal="center" vertical="center"/>
    </xf>
    <xf numFmtId="0" fontId="16" fillId="0" borderId="0" xfId="10" applyFont="1" applyBorder="1">
      <alignment horizontal="left" vertical="center" indent="2"/>
    </xf>
    <xf numFmtId="0" fontId="16" fillId="0" borderId="0" xfId="9" applyFont="1" applyBorder="1" applyAlignment="1">
      <alignment vertical="center"/>
    </xf>
    <xf numFmtId="9" fontId="7" fillId="0" borderId="0" xfId="1" applyFont="1" applyAlignment="1">
      <alignment horizontal="center" vertical="center"/>
    </xf>
    <xf numFmtId="167" fontId="16" fillId="0" borderId="0" xfId="11"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9" fontId="7" fillId="2" borderId="0" xfId="1" applyFont="1" applyFill="1" applyBorder="1" applyAlignment="1">
      <alignment horizontal="center" vertical="center"/>
    </xf>
    <xf numFmtId="167" fontId="23" fillId="2" borderId="0" xfId="0" applyNumberFormat="1" applyFont="1" applyFill="1" applyAlignment="1">
      <alignment horizontal="left" vertical="center"/>
    </xf>
    <xf numFmtId="167" fontId="7" fillId="2" borderId="0" xfId="0" applyNumberFormat="1" applyFont="1" applyFill="1" applyAlignment="1">
      <alignment horizontal="center" vertical="center"/>
    </xf>
    <xf numFmtId="0" fontId="21" fillId="2" borderId="12" xfId="0" applyFont="1" applyFill="1" applyBorder="1" applyAlignment="1">
      <alignment horizontal="center" vertical="center"/>
    </xf>
    <xf numFmtId="0" fontId="1" fillId="2" borderId="0" xfId="0" applyFont="1" applyFill="1" applyAlignment="1">
      <alignment vertical="center"/>
    </xf>
    <xf numFmtId="0" fontId="0" fillId="0" borderId="0" xfId="0" applyAlignment="1">
      <alignment horizontal="center"/>
    </xf>
    <xf numFmtId="0" fontId="0" fillId="0" borderId="0" xfId="0" applyAlignment="1">
      <alignment horizontal="right" vertical="center"/>
    </xf>
    <xf numFmtId="0" fontId="24" fillId="0" borderId="0" xfId="0" applyFont="1"/>
    <xf numFmtId="0" fontId="2" fillId="0" borderId="0" xfId="0" applyFont="1" applyAlignment="1">
      <alignment horizontal="center"/>
    </xf>
    <xf numFmtId="0" fontId="25" fillId="0" borderId="0" xfId="8" applyFont="1" applyAlignment="1" applyProtection="1"/>
    <xf numFmtId="0" fontId="8" fillId="0" borderId="0" xfId="4" applyFont="1" applyAlignment="1">
      <alignment horizontal="left"/>
    </xf>
    <xf numFmtId="0" fontId="1" fillId="0" borderId="0" xfId="0" applyFont="1"/>
    <xf numFmtId="164" fontId="10" fillId="0" borderId="0" xfId="5" applyFont="1" applyBorder="1" applyAlignment="1">
      <alignment horizontal="left"/>
    </xf>
    <xf numFmtId="0" fontId="11" fillId="0" borderId="0" xfId="0" applyFont="1"/>
    <xf numFmtId="0" fontId="10" fillId="0" borderId="0" xfId="0" applyFont="1" applyAlignment="1">
      <alignment horizontal="left"/>
    </xf>
    <xf numFmtId="165" fontId="16" fillId="2" borderId="2" xfId="0" applyNumberFormat="1" applyFont="1" applyFill="1" applyBorder="1" applyAlignment="1">
      <alignment horizontal="center" vertical="center" wrapText="1"/>
    </xf>
    <xf numFmtId="165" fontId="16" fillId="2" borderId="3" xfId="0" applyNumberFormat="1" applyFont="1" applyFill="1" applyBorder="1" applyAlignment="1">
      <alignment horizontal="center" vertical="center" wrapText="1"/>
    </xf>
    <xf numFmtId="165" fontId="16" fillId="2" borderId="4" xfId="0" applyNumberFormat="1" applyFont="1" applyFill="1" applyBorder="1" applyAlignment="1">
      <alignment horizontal="center" vertical="center" wrapText="1"/>
    </xf>
    <xf numFmtId="0" fontId="2" fillId="0" borderId="0" xfId="2" applyAlignment="1">
      <alignment wrapText="1"/>
    </xf>
    <xf numFmtId="0" fontId="17" fillId="3" borderId="5" xfId="0" applyFont="1" applyFill="1" applyBorder="1" applyAlignment="1">
      <alignment horizontal="left" vertical="center" indent="1"/>
    </xf>
    <xf numFmtId="0" fontId="1" fillId="2" borderId="7" xfId="0" applyFont="1" applyFill="1" applyBorder="1" applyAlignment="1">
      <alignment horizontal="left" indent="1"/>
    </xf>
    <xf numFmtId="0" fontId="17" fillId="3" borderId="5" xfId="0" applyFont="1" applyFill="1" applyBorder="1" applyAlignment="1">
      <alignment vertical="center"/>
    </xf>
    <xf numFmtId="0" fontId="1" fillId="2" borderId="7" xfId="0" applyFont="1" applyFill="1" applyBorder="1"/>
    <xf numFmtId="0" fontId="17" fillId="3" borderId="5" xfId="0" applyFont="1" applyFill="1" applyBorder="1" applyAlignment="1">
      <alignment horizontal="center" vertical="center"/>
    </xf>
    <xf numFmtId="0" fontId="16" fillId="8" borderId="0" xfId="10" applyFont="1" applyFill="1" applyBorder="1">
      <alignment horizontal="left" vertical="center" indent="2"/>
    </xf>
    <xf numFmtId="0" fontId="16" fillId="8" borderId="0" xfId="9" applyFont="1" applyFill="1" applyBorder="1">
      <alignment horizontal="center" vertical="center"/>
    </xf>
    <xf numFmtId="9" fontId="7" fillId="8" borderId="0" xfId="1" applyFont="1" applyFill="1" applyBorder="1" applyAlignment="1">
      <alignment horizontal="center" vertical="center"/>
    </xf>
    <xf numFmtId="167" fontId="16" fillId="8" borderId="0" xfId="11" applyFont="1" applyFill="1" applyBorder="1">
      <alignment horizontal="center" vertical="center"/>
    </xf>
    <xf numFmtId="0" fontId="1" fillId="0" borderId="18" xfId="0" applyFont="1" applyBorder="1" applyAlignment="1">
      <alignment horizontal="right" vertical="center"/>
    </xf>
  </cellXfs>
  <cellStyles count="12">
    <cellStyle name="Date" xfId="11" xr:uid="{1C8199C5-934A-4172-9EE0-3F5644D38C3A}"/>
    <cellStyle name="Heading 1 2" xfId="6" xr:uid="{72DAE218-8DE5-4EFF-B626-E3BB72567A69}"/>
    <cellStyle name="Heading 2 2" xfId="7" xr:uid="{97EDA3F4-3A5A-4842-BCAD-4A397FB1800A}"/>
    <cellStyle name="Heading 3 2" xfId="4" xr:uid="{D671FAC6-52FD-4B06-A5BA-6578A89C2CAD}"/>
    <cellStyle name="Hyperlink" xfId="8" builtinId="8"/>
    <cellStyle name="Name" xfId="9" xr:uid="{36155BC3-C308-413A-AAC2-40349CB4E75A}"/>
    <cellStyle name="Normal" xfId="0" builtinId="0"/>
    <cellStyle name="Percent" xfId="1" builtinId="5"/>
    <cellStyle name="Project Start" xfId="5" xr:uid="{FA97508D-4F6A-4711-AA95-9D36B54D057D}"/>
    <cellStyle name="Task" xfId="10" xr:uid="{9DB66187-AB6E-4468-8ADC-AB1E5B7B9C3D}"/>
    <cellStyle name="Title 2" xfId="3" xr:uid="{0343AC43-FD70-4305-B51D-5C21EB031126}"/>
    <cellStyle name="zHiddenText" xfId="2" xr:uid="{0E7E4E57-B2F2-4160-BC8D-0FA617AF4249}"/>
  </cellStyles>
  <dxfs count="9">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B6577-F2D8-41A0-AC98-DFA8A211991B}">
  <sheetPr>
    <pageSetUpPr fitToPage="1"/>
  </sheetPr>
  <dimension ref="A1:BL32"/>
  <sheetViews>
    <sheetView showGridLines="0" tabSelected="1" showRuler="0" topLeftCell="A11" zoomScale="66" zoomScaleNormal="100" zoomScalePageLayoutView="70" workbookViewId="0">
      <selection activeCell="D17" sqref="D17"/>
    </sheetView>
  </sheetViews>
  <sheetFormatPr defaultColWidth="9.265625" defaultRowHeight="30" customHeight="1" x14ac:dyDescent="0.45"/>
  <cols>
    <col min="1" max="1" width="3" style="10" customWidth="1"/>
    <col min="2" max="2" width="27.46484375" customWidth="1"/>
    <col min="3" max="3" width="26.1328125" customWidth="1"/>
    <col min="4" max="4" width="11.3984375" customWidth="1"/>
    <col min="5" max="5" width="11.3984375" style="96" customWidth="1"/>
    <col min="6" max="6" width="19" customWidth="1"/>
    <col min="7" max="7" width="3" customWidth="1"/>
    <col min="8" max="8" width="6.3984375" hidden="1" customWidth="1"/>
    <col min="9" max="9" width="1.86328125" customWidth="1"/>
    <col min="10" max="65" width="3" customWidth="1"/>
  </cols>
  <sheetData>
    <row r="1" spans="1:64" ht="90" customHeight="1" x14ac:dyDescent="1.4">
      <c r="A1" s="1"/>
      <c r="B1" s="2" t="s">
        <v>33</v>
      </c>
      <c r="C1" s="3"/>
      <c r="D1" s="4"/>
      <c r="E1" s="5"/>
      <c r="F1" s="6"/>
      <c r="H1" s="7"/>
      <c r="I1" s="101" t="s">
        <v>0</v>
      </c>
      <c r="J1" s="102"/>
      <c r="K1" s="102"/>
      <c r="L1" s="102"/>
      <c r="M1" s="102"/>
      <c r="N1" s="102"/>
      <c r="O1" s="102"/>
      <c r="P1" s="9"/>
      <c r="Q1" s="103">
        <v>45772</v>
      </c>
      <c r="R1" s="104"/>
      <c r="S1" s="104"/>
      <c r="T1" s="104"/>
      <c r="U1" s="104"/>
      <c r="V1" s="104"/>
      <c r="W1" s="104"/>
      <c r="X1" s="104"/>
      <c r="Y1" s="104"/>
      <c r="Z1" s="104"/>
    </row>
    <row r="2" spans="1:64" ht="30" customHeight="1" x14ac:dyDescent="0.65">
      <c r="B2" s="11" t="s">
        <v>34</v>
      </c>
      <c r="C2" s="12" t="s">
        <v>21</v>
      </c>
      <c r="D2" s="13"/>
      <c r="E2" s="14"/>
      <c r="F2" s="13"/>
      <c r="I2" s="101" t="s">
        <v>1</v>
      </c>
      <c r="J2" s="102"/>
      <c r="K2" s="102"/>
      <c r="L2" s="102"/>
      <c r="M2" s="102"/>
      <c r="N2" s="102"/>
      <c r="O2" s="102"/>
      <c r="P2" s="9"/>
      <c r="Q2" s="105">
        <v>1</v>
      </c>
      <c r="R2" s="104"/>
      <c r="S2" s="104"/>
      <c r="T2" s="104"/>
      <c r="U2" s="104"/>
      <c r="V2" s="104"/>
      <c r="W2" s="104"/>
      <c r="X2" s="104"/>
      <c r="Y2" s="104"/>
      <c r="Z2" s="104"/>
    </row>
    <row r="3" spans="1:64" s="8" customFormat="1" ht="30" customHeight="1" x14ac:dyDescent="0.45">
      <c r="A3" s="10"/>
      <c r="B3" s="15"/>
      <c r="C3" s="12" t="s">
        <v>22</v>
      </c>
      <c r="D3" s="16"/>
      <c r="E3" s="17"/>
    </row>
    <row r="4" spans="1:64" s="8" customFormat="1" ht="30" customHeight="1" x14ac:dyDescent="0.45">
      <c r="A4" s="1"/>
      <c r="B4" s="18"/>
      <c r="E4" s="19"/>
      <c r="I4" s="106">
        <f>I5</f>
        <v>45768</v>
      </c>
      <c r="J4" s="107"/>
      <c r="K4" s="107"/>
      <c r="L4" s="107"/>
      <c r="M4" s="107"/>
      <c r="N4" s="107"/>
      <c r="O4" s="107"/>
      <c r="P4" s="107">
        <f>P5</f>
        <v>45775</v>
      </c>
      <c r="Q4" s="107"/>
      <c r="R4" s="107"/>
      <c r="S4" s="107"/>
      <c r="T4" s="107"/>
      <c r="U4" s="107"/>
      <c r="V4" s="107"/>
      <c r="W4" s="107">
        <f>W5</f>
        <v>45782</v>
      </c>
      <c r="X4" s="107"/>
      <c r="Y4" s="107"/>
      <c r="Z4" s="107"/>
      <c r="AA4" s="107"/>
      <c r="AB4" s="107"/>
      <c r="AC4" s="107"/>
      <c r="AD4" s="107">
        <f>AD5</f>
        <v>45789</v>
      </c>
      <c r="AE4" s="107"/>
      <c r="AF4" s="107"/>
      <c r="AG4" s="107"/>
      <c r="AH4" s="107"/>
      <c r="AI4" s="107"/>
      <c r="AJ4" s="107"/>
      <c r="AK4" s="107">
        <f>AK5</f>
        <v>45796</v>
      </c>
      <c r="AL4" s="107"/>
      <c r="AM4" s="107"/>
      <c r="AN4" s="107"/>
      <c r="AO4" s="107"/>
      <c r="AP4" s="107"/>
      <c r="AQ4" s="107"/>
      <c r="AR4" s="107">
        <f>AR5</f>
        <v>45803</v>
      </c>
      <c r="AS4" s="107"/>
      <c r="AT4" s="107"/>
      <c r="AU4" s="107"/>
      <c r="AV4" s="107"/>
      <c r="AW4" s="107"/>
      <c r="AX4" s="107"/>
      <c r="AY4" s="107">
        <f>AY5</f>
        <v>45810</v>
      </c>
      <c r="AZ4" s="107"/>
      <c r="BA4" s="107"/>
      <c r="BB4" s="107"/>
      <c r="BC4" s="107"/>
      <c r="BD4" s="107"/>
      <c r="BE4" s="107"/>
      <c r="BF4" s="107">
        <f>BF5</f>
        <v>45817</v>
      </c>
      <c r="BG4" s="107"/>
      <c r="BH4" s="107"/>
      <c r="BI4" s="107"/>
      <c r="BJ4" s="107"/>
      <c r="BK4" s="107"/>
      <c r="BL4" s="108"/>
    </row>
    <row r="5" spans="1:64" s="8" customFormat="1" ht="15" customHeight="1" x14ac:dyDescent="0.45">
      <c r="A5" s="109"/>
      <c r="B5" s="110" t="s">
        <v>2</v>
      </c>
      <c r="C5" s="112" t="s">
        <v>3</v>
      </c>
      <c r="D5" s="114" t="s">
        <v>4</v>
      </c>
      <c r="E5" s="114" t="s">
        <v>5</v>
      </c>
      <c r="F5" s="114" t="s">
        <v>6</v>
      </c>
      <c r="I5" s="20">
        <f>Project_Start-WEEKDAY(Project_Start,1)+2+7*(Display_Week-1)</f>
        <v>45768</v>
      </c>
      <c r="J5" s="20">
        <f t="shared" ref="J5:BL5" si="0">I5+1</f>
        <v>45769</v>
      </c>
      <c r="K5" s="20">
        <f t="shared" si="0"/>
        <v>45770</v>
      </c>
      <c r="L5" s="20">
        <f t="shared" si="0"/>
        <v>45771</v>
      </c>
      <c r="M5" s="20">
        <f t="shared" si="0"/>
        <v>45772</v>
      </c>
      <c r="N5" s="20">
        <f t="shared" si="0"/>
        <v>45773</v>
      </c>
      <c r="O5" s="21">
        <f t="shared" si="0"/>
        <v>45774</v>
      </c>
      <c r="P5" s="22">
        <f t="shared" si="0"/>
        <v>45775</v>
      </c>
      <c r="Q5" s="20">
        <f t="shared" si="0"/>
        <v>45776</v>
      </c>
      <c r="R5" s="20">
        <f t="shared" si="0"/>
        <v>45777</v>
      </c>
      <c r="S5" s="20">
        <f t="shared" si="0"/>
        <v>45778</v>
      </c>
      <c r="T5" s="20">
        <f t="shared" si="0"/>
        <v>45779</v>
      </c>
      <c r="U5" s="20">
        <f t="shared" si="0"/>
        <v>45780</v>
      </c>
      <c r="V5" s="21">
        <f t="shared" si="0"/>
        <v>45781</v>
      </c>
      <c r="W5" s="22">
        <f t="shared" si="0"/>
        <v>45782</v>
      </c>
      <c r="X5" s="20">
        <f t="shared" si="0"/>
        <v>45783</v>
      </c>
      <c r="Y5" s="20">
        <f t="shared" si="0"/>
        <v>45784</v>
      </c>
      <c r="Z5" s="20">
        <f t="shared" si="0"/>
        <v>45785</v>
      </c>
      <c r="AA5" s="20">
        <f t="shared" si="0"/>
        <v>45786</v>
      </c>
      <c r="AB5" s="20">
        <f t="shared" si="0"/>
        <v>45787</v>
      </c>
      <c r="AC5" s="21">
        <f t="shared" si="0"/>
        <v>45788</v>
      </c>
      <c r="AD5" s="22">
        <f t="shared" si="0"/>
        <v>45789</v>
      </c>
      <c r="AE5" s="20">
        <f t="shared" si="0"/>
        <v>45790</v>
      </c>
      <c r="AF5" s="20">
        <f t="shared" si="0"/>
        <v>45791</v>
      </c>
      <c r="AG5" s="20">
        <f t="shared" si="0"/>
        <v>45792</v>
      </c>
      <c r="AH5" s="20">
        <f t="shared" si="0"/>
        <v>45793</v>
      </c>
      <c r="AI5" s="20">
        <f t="shared" si="0"/>
        <v>45794</v>
      </c>
      <c r="AJ5" s="21">
        <f t="shared" si="0"/>
        <v>45795</v>
      </c>
      <c r="AK5" s="22">
        <f t="shared" si="0"/>
        <v>45796</v>
      </c>
      <c r="AL5" s="20">
        <f t="shared" si="0"/>
        <v>45797</v>
      </c>
      <c r="AM5" s="20">
        <f t="shared" si="0"/>
        <v>45798</v>
      </c>
      <c r="AN5" s="20">
        <f t="shared" si="0"/>
        <v>45799</v>
      </c>
      <c r="AO5" s="20">
        <f t="shared" si="0"/>
        <v>45800</v>
      </c>
      <c r="AP5" s="20">
        <f t="shared" si="0"/>
        <v>45801</v>
      </c>
      <c r="AQ5" s="21">
        <f t="shared" si="0"/>
        <v>45802</v>
      </c>
      <c r="AR5" s="22">
        <f t="shared" si="0"/>
        <v>45803</v>
      </c>
      <c r="AS5" s="20">
        <f t="shared" si="0"/>
        <v>45804</v>
      </c>
      <c r="AT5" s="20">
        <f t="shared" si="0"/>
        <v>45805</v>
      </c>
      <c r="AU5" s="20">
        <f t="shared" si="0"/>
        <v>45806</v>
      </c>
      <c r="AV5" s="20">
        <f t="shared" si="0"/>
        <v>45807</v>
      </c>
      <c r="AW5" s="20">
        <f t="shared" si="0"/>
        <v>45808</v>
      </c>
      <c r="AX5" s="21">
        <f t="shared" si="0"/>
        <v>45809</v>
      </c>
      <c r="AY5" s="22">
        <f t="shared" si="0"/>
        <v>45810</v>
      </c>
      <c r="AZ5" s="20">
        <f t="shared" si="0"/>
        <v>45811</v>
      </c>
      <c r="BA5" s="20">
        <f t="shared" si="0"/>
        <v>45812</v>
      </c>
      <c r="BB5" s="20">
        <f t="shared" si="0"/>
        <v>45813</v>
      </c>
      <c r="BC5" s="20">
        <f t="shared" si="0"/>
        <v>45814</v>
      </c>
      <c r="BD5" s="20">
        <f t="shared" si="0"/>
        <v>45815</v>
      </c>
      <c r="BE5" s="21">
        <f t="shared" si="0"/>
        <v>45816</v>
      </c>
      <c r="BF5" s="22">
        <f t="shared" si="0"/>
        <v>45817</v>
      </c>
      <c r="BG5" s="20">
        <f t="shared" si="0"/>
        <v>45818</v>
      </c>
      <c r="BH5" s="20">
        <f t="shared" si="0"/>
        <v>45819</v>
      </c>
      <c r="BI5" s="20">
        <f t="shared" si="0"/>
        <v>45820</v>
      </c>
      <c r="BJ5" s="20">
        <f t="shared" si="0"/>
        <v>45821</v>
      </c>
      <c r="BK5" s="20">
        <f t="shared" si="0"/>
        <v>45822</v>
      </c>
      <c r="BL5" s="20">
        <f t="shared" si="0"/>
        <v>45823</v>
      </c>
    </row>
    <row r="6" spans="1:64" s="8" customFormat="1" ht="15" customHeight="1" thickBot="1" x14ac:dyDescent="0.5">
      <c r="A6" s="109"/>
      <c r="B6" s="111"/>
      <c r="C6" s="113"/>
      <c r="D6" s="113"/>
      <c r="E6" s="113"/>
      <c r="F6" s="113"/>
      <c r="I6" s="23" t="str">
        <f t="shared" ref="I6:BL6" si="1">LEFT(TEXT(I5,"ddd"),1)</f>
        <v>M</v>
      </c>
      <c r="J6" s="24" t="str">
        <f t="shared" si="1"/>
        <v>T</v>
      </c>
      <c r="K6" s="24" t="str">
        <f t="shared" si="1"/>
        <v>W</v>
      </c>
      <c r="L6" s="24" t="str">
        <f t="shared" si="1"/>
        <v>T</v>
      </c>
      <c r="M6" s="24" t="str">
        <f t="shared" si="1"/>
        <v>F</v>
      </c>
      <c r="N6" s="24" t="str">
        <f t="shared" si="1"/>
        <v>S</v>
      </c>
      <c r="O6" s="24" t="str">
        <f t="shared" si="1"/>
        <v>S</v>
      </c>
      <c r="P6" s="24" t="str">
        <f t="shared" si="1"/>
        <v>M</v>
      </c>
      <c r="Q6" s="24" t="str">
        <f t="shared" si="1"/>
        <v>T</v>
      </c>
      <c r="R6" s="24" t="str">
        <f t="shared" si="1"/>
        <v>W</v>
      </c>
      <c r="S6" s="24" t="str">
        <f t="shared" si="1"/>
        <v>T</v>
      </c>
      <c r="T6" s="24" t="str">
        <f t="shared" si="1"/>
        <v>F</v>
      </c>
      <c r="U6" s="24" t="str">
        <f t="shared" si="1"/>
        <v>S</v>
      </c>
      <c r="V6" s="24" t="str">
        <f t="shared" si="1"/>
        <v>S</v>
      </c>
      <c r="W6" s="24" t="str">
        <f t="shared" si="1"/>
        <v>M</v>
      </c>
      <c r="X6" s="24" t="str">
        <f t="shared" si="1"/>
        <v>T</v>
      </c>
      <c r="Y6" s="24" t="str">
        <f t="shared" si="1"/>
        <v>W</v>
      </c>
      <c r="Z6" s="24" t="str">
        <f t="shared" si="1"/>
        <v>T</v>
      </c>
      <c r="AA6" s="24" t="str">
        <f t="shared" si="1"/>
        <v>F</v>
      </c>
      <c r="AB6" s="24" t="str">
        <f t="shared" si="1"/>
        <v>S</v>
      </c>
      <c r="AC6" s="24" t="str">
        <f t="shared" si="1"/>
        <v>S</v>
      </c>
      <c r="AD6" s="24" t="str">
        <f t="shared" si="1"/>
        <v>M</v>
      </c>
      <c r="AE6" s="24" t="str">
        <f t="shared" si="1"/>
        <v>T</v>
      </c>
      <c r="AF6" s="24" t="str">
        <f t="shared" si="1"/>
        <v>W</v>
      </c>
      <c r="AG6" s="24" t="str">
        <f t="shared" si="1"/>
        <v>T</v>
      </c>
      <c r="AH6" s="24" t="str">
        <f t="shared" si="1"/>
        <v>F</v>
      </c>
      <c r="AI6" s="24" t="str">
        <f t="shared" si="1"/>
        <v>S</v>
      </c>
      <c r="AJ6" s="24" t="str">
        <f t="shared" si="1"/>
        <v>S</v>
      </c>
      <c r="AK6" s="24" t="str">
        <f t="shared" si="1"/>
        <v>M</v>
      </c>
      <c r="AL6" s="24" t="str">
        <f t="shared" si="1"/>
        <v>T</v>
      </c>
      <c r="AM6" s="24" t="str">
        <f t="shared" si="1"/>
        <v>W</v>
      </c>
      <c r="AN6" s="24" t="str">
        <f t="shared" si="1"/>
        <v>T</v>
      </c>
      <c r="AO6" s="24" t="str">
        <f t="shared" si="1"/>
        <v>F</v>
      </c>
      <c r="AP6" s="24" t="str">
        <f t="shared" si="1"/>
        <v>S</v>
      </c>
      <c r="AQ6" s="24" t="str">
        <f t="shared" si="1"/>
        <v>S</v>
      </c>
      <c r="AR6" s="24" t="str">
        <f t="shared" si="1"/>
        <v>M</v>
      </c>
      <c r="AS6" s="24" t="str">
        <f t="shared" si="1"/>
        <v>T</v>
      </c>
      <c r="AT6" s="24" t="str">
        <f t="shared" si="1"/>
        <v>W</v>
      </c>
      <c r="AU6" s="24" t="str">
        <f t="shared" si="1"/>
        <v>T</v>
      </c>
      <c r="AV6" s="24" t="str">
        <f t="shared" si="1"/>
        <v>F</v>
      </c>
      <c r="AW6" s="24" t="str">
        <f t="shared" si="1"/>
        <v>S</v>
      </c>
      <c r="AX6" s="24" t="str">
        <f t="shared" si="1"/>
        <v>S</v>
      </c>
      <c r="AY6" s="24" t="str">
        <f t="shared" si="1"/>
        <v>M</v>
      </c>
      <c r="AZ6" s="24" t="str">
        <f t="shared" si="1"/>
        <v>T</v>
      </c>
      <c r="BA6" s="24" t="str">
        <f t="shared" si="1"/>
        <v>W</v>
      </c>
      <c r="BB6" s="24" t="str">
        <f t="shared" si="1"/>
        <v>T</v>
      </c>
      <c r="BC6" s="24" t="str">
        <f t="shared" si="1"/>
        <v>F</v>
      </c>
      <c r="BD6" s="24" t="str">
        <f t="shared" si="1"/>
        <v>S</v>
      </c>
      <c r="BE6" s="24" t="str">
        <f t="shared" si="1"/>
        <v>S</v>
      </c>
      <c r="BF6" s="24" t="str">
        <f t="shared" si="1"/>
        <v>M</v>
      </c>
      <c r="BG6" s="24" t="str">
        <f t="shared" si="1"/>
        <v>T</v>
      </c>
      <c r="BH6" s="24" t="str">
        <f t="shared" si="1"/>
        <v>W</v>
      </c>
      <c r="BI6" s="24" t="str">
        <f t="shared" si="1"/>
        <v>T</v>
      </c>
      <c r="BJ6" s="24" t="str">
        <f t="shared" si="1"/>
        <v>F</v>
      </c>
      <c r="BK6" s="24" t="str">
        <f t="shared" si="1"/>
        <v>S</v>
      </c>
      <c r="BL6" s="25" t="str">
        <f t="shared" si="1"/>
        <v>S</v>
      </c>
    </row>
    <row r="7" spans="1:64" s="8" customFormat="1" ht="30" hidden="1" customHeight="1" thickBot="1" x14ac:dyDescent="0.5">
      <c r="A7" s="10" t="s">
        <v>7</v>
      </c>
      <c r="B7" s="26"/>
      <c r="C7" s="27"/>
      <c r="D7" s="26"/>
      <c r="E7" s="26"/>
      <c r="F7" s="26"/>
      <c r="H7" s="8" t="str">
        <f>IF(OR(ISBLANK(task_start),ISBLANK(task_end)),"",task_end-task_start+1)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37" customFormat="1" ht="30" customHeight="1" thickBot="1" x14ac:dyDescent="0.5">
      <c r="A8" s="1"/>
      <c r="B8" s="29" t="s">
        <v>39</v>
      </c>
      <c r="C8" s="30"/>
      <c r="D8" s="31"/>
      <c r="E8" s="32"/>
      <c r="F8" s="33"/>
      <c r="G8" s="34"/>
      <c r="H8" s="35" t="str">
        <f>IF(OR(ISBLANK(task_start),ISBLANK(task_end)),"",task_end-task_start+1)</f>
        <v/>
      </c>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row>
    <row r="9" spans="1:64" s="37" customFormat="1" ht="30" customHeight="1" thickBot="1" x14ac:dyDescent="0.5">
      <c r="A9" s="1"/>
      <c r="B9" s="38" t="s">
        <v>23</v>
      </c>
      <c r="C9" s="39" t="s">
        <v>12</v>
      </c>
      <c r="D9" s="40">
        <v>1</v>
      </c>
      <c r="E9" s="41">
        <v>45773</v>
      </c>
      <c r="F9" s="41">
        <v>45774</v>
      </c>
      <c r="G9" s="34"/>
      <c r="H9" s="35">
        <f>IF(OR(ISBLANK(task_start),ISBLANK(task_end)),"",task_end-task_start+1)</f>
        <v>2</v>
      </c>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row>
    <row r="10" spans="1:64" s="37" customFormat="1" ht="30" customHeight="1" thickBot="1" x14ac:dyDescent="0.5">
      <c r="A10" s="1"/>
      <c r="B10" s="43" t="s">
        <v>40</v>
      </c>
      <c r="C10" s="44" t="s">
        <v>12</v>
      </c>
      <c r="D10" s="45">
        <v>1</v>
      </c>
      <c r="E10" s="46">
        <v>45786</v>
      </c>
      <c r="F10" s="46">
        <v>45786</v>
      </c>
      <c r="G10" s="34"/>
      <c r="H10" s="35">
        <f>IF(OR(ISBLANK(task_start),ISBLANK(task_end)),"",task_end-task_start+1)</f>
        <v>1</v>
      </c>
      <c r="I10" s="42"/>
      <c r="J10" s="42"/>
      <c r="K10" s="42"/>
      <c r="L10" s="42"/>
      <c r="M10" s="42"/>
      <c r="N10" s="42"/>
      <c r="O10" s="42"/>
      <c r="P10" s="42"/>
      <c r="Q10" s="42"/>
      <c r="R10" s="42"/>
      <c r="S10" s="42"/>
      <c r="T10" s="42"/>
      <c r="U10" s="47"/>
      <c r="V10" s="47"/>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c r="BH10" s="42"/>
      <c r="BI10" s="42"/>
      <c r="BJ10" s="42"/>
      <c r="BK10" s="42"/>
      <c r="BL10" s="42"/>
    </row>
    <row r="11" spans="1:64" s="37" customFormat="1" ht="30" customHeight="1" thickBot="1" x14ac:dyDescent="0.5">
      <c r="A11" s="1"/>
      <c r="B11" s="48" t="s">
        <v>8</v>
      </c>
      <c r="C11" s="49"/>
      <c r="D11" s="50"/>
      <c r="E11" s="51"/>
      <c r="F11" s="52"/>
      <c r="G11" s="34"/>
      <c r="H11" s="35" t="str">
        <f t="shared" ref="H11:H29" si="2">IF(OR(ISBLANK(task_start),ISBLANK(task_end)),"",task_end-task_start+1)</f>
        <v/>
      </c>
    </row>
    <row r="12" spans="1:64" s="37" customFormat="1" ht="30" customHeight="1" thickBot="1" x14ac:dyDescent="0.5">
      <c r="A12" s="1"/>
      <c r="B12" s="53" t="s">
        <v>9</v>
      </c>
      <c r="C12" s="54" t="s">
        <v>24</v>
      </c>
      <c r="D12" s="55">
        <v>1</v>
      </c>
      <c r="E12" s="56">
        <v>45773</v>
      </c>
      <c r="F12" s="57">
        <v>45786</v>
      </c>
      <c r="G12" s="34"/>
      <c r="H12" s="35">
        <f t="shared" si="2"/>
        <v>14</v>
      </c>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row>
    <row r="13" spans="1:64" s="37" customFormat="1" ht="30" customHeight="1" thickBot="1" x14ac:dyDescent="0.5">
      <c r="A13" s="10"/>
      <c r="B13" s="53" t="s">
        <v>10</v>
      </c>
      <c r="C13" s="54" t="s">
        <v>31</v>
      </c>
      <c r="D13" s="55">
        <v>1</v>
      </c>
      <c r="E13" s="56">
        <v>45749</v>
      </c>
      <c r="F13" s="57">
        <v>45786</v>
      </c>
      <c r="G13" s="34"/>
      <c r="H13" s="35">
        <f t="shared" si="2"/>
        <v>38</v>
      </c>
      <c r="I13" s="42"/>
      <c r="J13" s="42"/>
      <c r="K13" s="42"/>
      <c r="L13" s="42"/>
      <c r="M13" s="42"/>
      <c r="N13" s="42"/>
      <c r="O13" s="42"/>
      <c r="P13" s="42"/>
      <c r="Q13" s="42"/>
      <c r="R13" s="42"/>
      <c r="S13" s="42"/>
      <c r="T13" s="42"/>
      <c r="U13" s="47"/>
      <c r="V13" s="47"/>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row>
    <row r="14" spans="1:64" s="37" customFormat="1" ht="30" customHeight="1" thickBot="1" x14ac:dyDescent="0.5">
      <c r="A14" s="10"/>
      <c r="B14" s="115" t="s">
        <v>36</v>
      </c>
      <c r="C14" s="116" t="s">
        <v>31</v>
      </c>
      <c r="D14" s="117">
        <v>1</v>
      </c>
      <c r="E14" s="118">
        <v>45786</v>
      </c>
      <c r="F14" s="118">
        <v>45786</v>
      </c>
      <c r="G14" s="34"/>
      <c r="H14" s="35"/>
      <c r="I14" s="63"/>
      <c r="J14" s="63"/>
      <c r="K14" s="63"/>
      <c r="L14" s="63"/>
      <c r="M14" s="63"/>
      <c r="N14" s="63"/>
      <c r="O14" s="63"/>
      <c r="P14" s="63"/>
      <c r="Q14" s="63"/>
      <c r="R14" s="63"/>
      <c r="S14" s="63"/>
      <c r="T14" s="63"/>
      <c r="U14" s="119"/>
      <c r="V14" s="119"/>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row>
    <row r="15" spans="1:64" s="37" customFormat="1" ht="30" customHeight="1" thickBot="1" x14ac:dyDescent="0.5">
      <c r="A15" s="10"/>
      <c r="B15" s="58" t="s">
        <v>11</v>
      </c>
      <c r="C15" s="59"/>
      <c r="D15" s="60"/>
      <c r="E15" s="61"/>
      <c r="F15" s="62"/>
      <c r="G15" s="34"/>
      <c r="H15" s="35" t="str">
        <f t="shared" si="2"/>
        <v/>
      </c>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row>
    <row r="16" spans="1:64" s="37" customFormat="1" ht="30" customHeight="1" thickBot="1" x14ac:dyDescent="0.5">
      <c r="A16" s="10"/>
      <c r="B16" s="64" t="s">
        <v>25</v>
      </c>
      <c r="C16" s="65" t="s">
        <v>26</v>
      </c>
      <c r="D16" s="66">
        <v>1</v>
      </c>
      <c r="E16" s="67">
        <v>45773</v>
      </c>
      <c r="F16" s="68">
        <v>45773</v>
      </c>
      <c r="G16" s="34"/>
      <c r="H16" s="35">
        <f t="shared" si="2"/>
        <v>1</v>
      </c>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row>
    <row r="17" spans="1:64" s="37" customFormat="1" ht="30" customHeight="1" thickBot="1" x14ac:dyDescent="0.5">
      <c r="A17" s="10"/>
      <c r="B17" s="64" t="s">
        <v>27</v>
      </c>
      <c r="C17" s="65" t="s">
        <v>26</v>
      </c>
      <c r="D17" s="66">
        <v>1</v>
      </c>
      <c r="E17" s="67">
        <v>45776</v>
      </c>
      <c r="F17" s="68">
        <v>45776</v>
      </c>
      <c r="G17" s="34"/>
      <c r="H17" s="35">
        <f t="shared" si="2"/>
        <v>1</v>
      </c>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c r="AY17" s="42"/>
      <c r="AZ17" s="42"/>
      <c r="BA17" s="42"/>
      <c r="BB17" s="42"/>
      <c r="BC17" s="42"/>
      <c r="BD17" s="42"/>
      <c r="BE17" s="42"/>
      <c r="BF17" s="42"/>
      <c r="BG17" s="42"/>
      <c r="BH17" s="42"/>
      <c r="BI17" s="42"/>
      <c r="BJ17" s="42"/>
      <c r="BK17" s="42"/>
      <c r="BL17" s="42"/>
    </row>
    <row r="18" spans="1:64" s="37" customFormat="1" ht="30" customHeight="1" thickBot="1" x14ac:dyDescent="0.5">
      <c r="A18" s="10"/>
      <c r="B18" s="64" t="s">
        <v>28</v>
      </c>
      <c r="C18" s="65" t="s">
        <v>13</v>
      </c>
      <c r="D18" s="66">
        <v>0.9</v>
      </c>
      <c r="E18" s="67">
        <v>45758</v>
      </c>
      <c r="F18" s="68">
        <v>45784</v>
      </c>
      <c r="G18" s="34"/>
      <c r="H18" s="35"/>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row>
    <row r="19" spans="1:64" s="37" customFormat="1" ht="30" customHeight="1" thickBot="1" x14ac:dyDescent="0.5">
      <c r="A19" s="10"/>
      <c r="B19" s="69" t="s">
        <v>29</v>
      </c>
      <c r="C19" s="65" t="s">
        <v>13</v>
      </c>
      <c r="D19" s="66">
        <v>1</v>
      </c>
      <c r="E19" s="67">
        <v>45781</v>
      </c>
      <c r="F19" s="68">
        <v>45784</v>
      </c>
      <c r="G19" s="34"/>
      <c r="H19" s="35">
        <f t="shared" si="2"/>
        <v>4</v>
      </c>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c r="BE19" s="42"/>
      <c r="BF19" s="42"/>
      <c r="BG19" s="42"/>
      <c r="BH19" s="42"/>
      <c r="BI19" s="42"/>
      <c r="BJ19" s="42"/>
      <c r="BK19" s="42"/>
      <c r="BL19" s="42"/>
    </row>
    <row r="20" spans="1:64" s="37" customFormat="1" ht="30" customHeight="1" thickBot="1" x14ac:dyDescent="0.5">
      <c r="A20" s="10"/>
      <c r="B20" s="70" t="s">
        <v>35</v>
      </c>
      <c r="C20" s="71" t="s">
        <v>13</v>
      </c>
      <c r="D20" s="72">
        <v>0.85</v>
      </c>
      <c r="E20" s="73">
        <v>45780</v>
      </c>
      <c r="F20" s="73">
        <v>45786</v>
      </c>
      <c r="G20" s="34"/>
      <c r="H20" s="35"/>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row>
    <row r="21" spans="1:64" s="37" customFormat="1" ht="30" customHeight="1" thickBot="1" x14ac:dyDescent="0.5">
      <c r="A21" s="10"/>
      <c r="B21" s="70" t="s">
        <v>14</v>
      </c>
      <c r="C21" s="71" t="s">
        <v>12</v>
      </c>
      <c r="D21" s="72">
        <v>1</v>
      </c>
      <c r="E21" s="73">
        <v>45786</v>
      </c>
      <c r="F21" s="73">
        <v>45786</v>
      </c>
      <c r="G21" s="34"/>
      <c r="H21" s="35"/>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row>
    <row r="22" spans="1:64" s="37" customFormat="1" ht="30" customHeight="1" thickBot="1" x14ac:dyDescent="0.5">
      <c r="A22" s="10"/>
      <c r="B22" s="75" t="s">
        <v>15</v>
      </c>
      <c r="C22" s="76"/>
      <c r="D22" s="77"/>
      <c r="E22" s="78"/>
      <c r="F22" s="79"/>
      <c r="G22" s="34"/>
      <c r="H22" s="35" t="str">
        <f t="shared" si="2"/>
        <v/>
      </c>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row>
    <row r="23" spans="1:64" s="37" customFormat="1" ht="30" customHeight="1" thickBot="1" x14ac:dyDescent="0.5">
      <c r="A23" s="10"/>
      <c r="B23" s="80" t="s">
        <v>16</v>
      </c>
      <c r="C23" s="81" t="s">
        <v>12</v>
      </c>
      <c r="D23" s="82">
        <v>0.85</v>
      </c>
      <c r="E23" s="83">
        <v>45758</v>
      </c>
      <c r="F23" s="84">
        <v>45786</v>
      </c>
      <c r="G23" s="34"/>
      <c r="H23" s="35">
        <f t="shared" si="2"/>
        <v>29</v>
      </c>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row>
    <row r="24" spans="1:64" s="37" customFormat="1" ht="30" customHeight="1" thickBot="1" x14ac:dyDescent="0.5">
      <c r="A24" s="10"/>
      <c r="B24" s="80" t="s">
        <v>17</v>
      </c>
      <c r="C24" s="81" t="s">
        <v>32</v>
      </c>
      <c r="D24" s="82">
        <v>1</v>
      </c>
      <c r="E24" s="83">
        <v>45772</v>
      </c>
      <c r="F24" s="84">
        <v>45786</v>
      </c>
      <c r="G24" s="34"/>
      <c r="H24" s="35">
        <f t="shared" si="2"/>
        <v>15</v>
      </c>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row>
    <row r="25" spans="1:64" s="37" customFormat="1" ht="30" customHeight="1" thickBot="1" x14ac:dyDescent="0.5">
      <c r="A25" s="10"/>
      <c r="B25" s="80" t="s">
        <v>18</v>
      </c>
      <c r="C25" s="81" t="s">
        <v>13</v>
      </c>
      <c r="D25" s="82">
        <v>0.8</v>
      </c>
      <c r="E25" s="83">
        <v>45758</v>
      </c>
      <c r="F25" s="84">
        <v>45786</v>
      </c>
      <c r="G25" s="34"/>
      <c r="H25" s="35">
        <f t="shared" si="2"/>
        <v>29</v>
      </c>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row>
    <row r="26" spans="1:64" s="37" customFormat="1" ht="30" customHeight="1" thickBot="1" x14ac:dyDescent="0.5">
      <c r="A26" s="10" t="s">
        <v>37</v>
      </c>
      <c r="B26" s="80" t="s">
        <v>38</v>
      </c>
      <c r="C26" s="81" t="s">
        <v>30</v>
      </c>
      <c r="D26" s="82">
        <v>0.9</v>
      </c>
      <c r="E26" s="83">
        <v>45786</v>
      </c>
      <c r="F26" s="84">
        <v>45786</v>
      </c>
      <c r="G26" s="34"/>
      <c r="H26" s="35"/>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row>
    <row r="27" spans="1:64" s="37" customFormat="1" ht="30" customHeight="1" thickBot="1" x14ac:dyDescent="0.5">
      <c r="A27" s="10"/>
      <c r="B27" s="80" t="s">
        <v>19</v>
      </c>
      <c r="C27" s="81" t="s">
        <v>30</v>
      </c>
      <c r="D27" s="82">
        <v>1</v>
      </c>
      <c r="E27" s="83">
        <v>45784</v>
      </c>
      <c r="F27" s="84">
        <v>45786</v>
      </c>
      <c r="G27" s="34"/>
      <c r="H27" s="35">
        <f t="shared" si="2"/>
        <v>3</v>
      </c>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row>
    <row r="28" spans="1:64" s="37" customFormat="1" ht="30" customHeight="1" thickBot="1" x14ac:dyDescent="0.5">
      <c r="A28" s="10"/>
      <c r="B28" s="85"/>
      <c r="C28" s="86"/>
      <c r="D28" s="87"/>
      <c r="E28" s="88"/>
      <c r="F28" s="88"/>
      <c r="G28" s="34"/>
      <c r="H28" s="35" t="str">
        <f t="shared" si="2"/>
        <v/>
      </c>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row>
    <row r="29" spans="1:64" s="37" customFormat="1" ht="30" customHeight="1" thickBot="1" x14ac:dyDescent="0.5">
      <c r="A29" s="1"/>
      <c r="B29" s="89" t="s">
        <v>20</v>
      </c>
      <c r="C29" s="90"/>
      <c r="D29" s="91"/>
      <c r="E29" s="92"/>
      <c r="F29" s="93"/>
      <c r="G29" s="34"/>
      <c r="H29" s="94" t="str">
        <f t="shared" si="2"/>
        <v/>
      </c>
      <c r="I29" s="95"/>
      <c r="J29" s="95"/>
      <c r="K29" s="95"/>
      <c r="L29" s="95"/>
      <c r="M29" s="95"/>
      <c r="N29" s="95"/>
      <c r="O29" s="95"/>
      <c r="P29" s="95"/>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95"/>
      <c r="AY29" s="95"/>
      <c r="AZ29" s="95"/>
      <c r="BA29" s="95"/>
      <c r="BB29" s="95"/>
      <c r="BC29" s="95"/>
      <c r="BD29" s="95"/>
      <c r="BE29" s="95"/>
      <c r="BF29" s="95"/>
      <c r="BG29" s="95"/>
      <c r="BH29" s="95"/>
      <c r="BI29" s="95"/>
      <c r="BJ29" s="95"/>
      <c r="BK29" s="95"/>
      <c r="BL29" s="95"/>
    </row>
    <row r="30" spans="1:64" ht="30" customHeight="1" x14ac:dyDescent="0.45">
      <c r="G30" s="97"/>
    </row>
    <row r="31" spans="1:64" ht="30" customHeight="1" x14ac:dyDescent="0.45">
      <c r="C31" s="98"/>
      <c r="F31" s="99"/>
    </row>
    <row r="32" spans="1:64" ht="30" customHeight="1" x14ac:dyDescent="0.45">
      <c r="C32" s="100"/>
    </row>
  </sheetData>
  <mergeCells count="18">
    <mergeCell ref="BF4:BL4"/>
    <mergeCell ref="A5:A6"/>
    <mergeCell ref="B5:B6"/>
    <mergeCell ref="C5:C6"/>
    <mergeCell ref="D5:D6"/>
    <mergeCell ref="E5:E6"/>
    <mergeCell ref="F5:F6"/>
    <mergeCell ref="AD4:AJ4"/>
    <mergeCell ref="AK4:AQ4"/>
    <mergeCell ref="AR4:AX4"/>
    <mergeCell ref="AY4:BE4"/>
    <mergeCell ref="I1:O1"/>
    <mergeCell ref="Q1:Z1"/>
    <mergeCell ref="I2:O2"/>
    <mergeCell ref="Q2:Z2"/>
    <mergeCell ref="I4:O4"/>
    <mergeCell ref="P4:V4"/>
    <mergeCell ref="W4:AC4"/>
  </mergeCells>
  <conditionalFormatting sqref="D7:D29">
    <cfRule type="dataBar" priority="8">
      <dataBar>
        <cfvo type="num" val="0"/>
        <cfvo type="num" val="1"/>
        <color theme="0"/>
      </dataBar>
      <extLst>
        <ext xmlns:x14="http://schemas.microsoft.com/office/spreadsheetml/2009/9/main" uri="{B025F937-C7B1-47D3-B67F-A62EFF666E3E}">
          <x14:id>{AC9FC957-FD41-4BF9-AADD-31C47DFC048E}</x14:id>
        </ext>
      </extLst>
    </cfRule>
  </conditionalFormatting>
  <conditionalFormatting sqref="I4:BL27">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4">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6:BL21">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3:BL27">
    <cfRule type="expression" dxfId="1" priority="9">
      <formula>AND(task_start&lt;=I$5,ROUNDDOWN((task_end-task_start+1)*task_progress,0)+task_start-1&gt;=I$5)</formula>
    </cfRule>
    <cfRule type="expression" dxfId="0" priority="10" stopIfTrue="1">
      <formula>AND(task_end&gt;=I$5,task_start&lt;J$5)</formula>
    </cfRule>
  </conditionalFormatting>
  <dataValidations count="13">
    <dataValidation allowBlank="1" showInputMessage="1" showErrorMessage="1" prompt="This row marks the end of the Project Schedule. DO NOT enter anything in this row. _x000a_Insert new rows ABOVE this one to continue building out your Project Schedule." sqref="A29" xr:uid="{C5D4FB9A-B7AE-40F8-9757-01F32C48AEEB}"/>
    <dataValidation allowBlank="1" showInputMessage="1" showErrorMessage="1" prompt="Phase 4's sample block starts in cell B26." sqref="A22" xr:uid="{15769AC3-BA3A-46CD-871A-457F5B4A7AE8}"/>
    <dataValidation allowBlank="1" showInputMessage="1" showErrorMessage="1" prompt="Phase 3's sample block starts in cell B20." sqref="A15" xr:uid="{E736C858-EF73-4ECE-BD93-A42EB0B10872}"/>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E538D608-0A48-46E1-A262-C90DB3306468}"/>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17E5D90A-236D-4369-9A66-D2BCCA75457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F76A29F3-67C4-44E4-89EC-6E8520D8B0D5}"/>
    <dataValidation allowBlank="1" showInputMessage="1" showErrorMessage="1" prompt="Cell B8 contains the Phase 1 sample title. Enter a new title in cell B8._x000a_To delete the phase and work only from tasks, simply delete this row." sqref="A8" xr:uid="{C292664A-E9B1-4329-9175-8B76A5C9E99D}"/>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1A20D14E-6DF1-457C-8DC9-E93187E0EEB5}"/>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7A2297DC-804A-4489-B673-8BF92F6F0FCC}"/>
    <dataValidation allowBlank="1" showInputMessage="1" showErrorMessage="1" prompt="Enter the name of the Project Lead in cell C3. Enter the Project Start date in cell Q1. Project Start: label is in cell I1." sqref="A3" xr:uid="{68F799C6-2BAB-4AC4-B27F-3C51F976ADEF}"/>
    <dataValidation allowBlank="1" showInputMessage="1" showErrorMessage="1" prompt="Enter Company name in cel B2." sqref="A2" xr:uid="{E9310C11-1428-4A83-99E5-417957EA567C}"/>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9CD51FB0-B88D-4D20-9300-B6E3D4878735}"/>
    <dataValidation type="whole" operator="greaterThanOrEqual" allowBlank="1" showInputMessage="1" promptTitle="Display Week" prompt="Changing this number will scroll the Gantt Chart view." sqref="Q2" xr:uid="{0438A655-D8E1-4BE5-AC2F-AAC16589BF8A}">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AC9FC957-FD41-4BF9-AADD-31C47DFC048E}">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4F4E-9132-40BF-AD62-EDCCE0F14E23}">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Sheet1</vt:lpstr>
      <vt:lpstr>Display_Week</vt:lpstr>
      <vt:lpstr>'Project schedule'!Print_Titles</vt:lpstr>
      <vt:lpstr>'Project schedule'!Project_Start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Khadijath Diaby</dc:creator>
  <cp:keywords/>
  <dc:description/>
  <cp:lastModifiedBy>Khadijath Diaby</cp:lastModifiedBy>
  <cp:revision/>
  <dcterms:created xsi:type="dcterms:W3CDTF">2025-04-25T16:04:46Z</dcterms:created>
  <dcterms:modified xsi:type="dcterms:W3CDTF">2025-05-10T04:45:38Z</dcterms:modified>
  <cp:category/>
  <cp:contentStatus/>
</cp:coreProperties>
</file>