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uofnelincoln-my.sharepoint.com/personal/kdiaby2_unl_edu/Documents/CIVE ANALYSIS/Project 5 (Group A)/"/>
    </mc:Choice>
  </mc:AlternateContent>
  <xr:revisionPtr revIDLastSave="0" documentId="8_{F29C0F4A-DF74-4F96-B199-F72B9718BD4E}" xr6:coauthVersionLast="47" xr6:coauthVersionMax="47" xr10:uidLastSave="{00000000-0000-0000-0000-000000000000}"/>
  <bookViews>
    <workbookView xWindow="-98" yWindow="-98" windowWidth="21795" windowHeight="12975" xr2:uid="{456D173A-19E9-0A40-B23B-480078CF04DD}"/>
  </bookViews>
  <sheets>
    <sheet name="Sheet1 (2)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G2" i="2" s="1"/>
  <c r="F3" i="2"/>
  <c r="G3" i="2" s="1"/>
  <c r="F4" i="2"/>
  <c r="G4" i="2" s="1"/>
  <c r="F5" i="2"/>
  <c r="G5" i="2" s="1"/>
  <c r="F6" i="2"/>
  <c r="G6" i="2" s="1"/>
  <c r="F7" i="2"/>
  <c r="G7" i="2" s="1"/>
  <c r="F8" i="2"/>
  <c r="G8" i="2" s="1"/>
  <c r="F9" i="2"/>
  <c r="G9" i="2" s="1"/>
  <c r="F10" i="2"/>
  <c r="G10" i="2" s="1"/>
  <c r="F11" i="2"/>
  <c r="G11" i="2" s="1"/>
  <c r="F12" i="2"/>
  <c r="G12" i="2" s="1"/>
  <c r="F13" i="2"/>
  <c r="G13" i="2" s="1"/>
  <c r="F14" i="2"/>
  <c r="G14" i="2" s="1"/>
  <c r="F15" i="2"/>
  <c r="G15" i="2" s="1"/>
  <c r="F16" i="2"/>
  <c r="G16" i="2" s="1"/>
  <c r="F17" i="2"/>
  <c r="G17" i="2" s="1"/>
  <c r="F18" i="2"/>
  <c r="G18" i="2" s="1"/>
  <c r="F19" i="2"/>
  <c r="G19" i="2" s="1"/>
  <c r="F20" i="2"/>
  <c r="G20" i="2" s="1"/>
  <c r="F21" i="2"/>
  <c r="G21" i="2" s="1"/>
  <c r="F22" i="2"/>
  <c r="G22" i="2" s="1"/>
  <c r="F23" i="2"/>
  <c r="G23" i="2" s="1"/>
  <c r="F24" i="2"/>
  <c r="G24" i="2" s="1"/>
  <c r="F25" i="2"/>
  <c r="G25" i="2" s="1"/>
  <c r="F26" i="2"/>
  <c r="G26" i="2" s="1"/>
  <c r="F27" i="2"/>
  <c r="G27" i="2" s="1"/>
  <c r="F28" i="2"/>
  <c r="G28" i="2" s="1"/>
  <c r="F29" i="2"/>
  <c r="G29" i="2" s="1"/>
  <c r="F30" i="2"/>
  <c r="G30" i="2" s="1"/>
  <c r="F31" i="2"/>
  <c r="G31" i="2" s="1"/>
  <c r="F32" i="2"/>
  <c r="G32" i="2" s="1"/>
  <c r="G33" i="2" l="1"/>
</calcChain>
</file>

<file path=xl/sharedStrings.xml><?xml version="1.0" encoding="utf-8"?>
<sst xmlns="http://schemas.openxmlformats.org/spreadsheetml/2006/main" count="110" uniqueCount="40">
  <si>
    <t>Day of the Week</t>
  </si>
  <si>
    <t>Date</t>
  </si>
  <si>
    <t>Person</t>
  </si>
  <si>
    <t>Hours Worked (hrs)</t>
  </si>
  <si>
    <t>Tasks Completed</t>
  </si>
  <si>
    <t>Hourly Rate*</t>
  </si>
  <si>
    <t>Total Compensation*</t>
  </si>
  <si>
    <t>Friday</t>
  </si>
  <si>
    <t>Khadijath</t>
  </si>
  <si>
    <t>Created a skeleton for Gantt chart and timesheet</t>
  </si>
  <si>
    <t>Lilee</t>
  </si>
  <si>
    <t>Worked on Gantt chart, timesheet and python code outline</t>
  </si>
  <si>
    <t>Manal</t>
  </si>
  <si>
    <t>Worked on python code outline and began code, worked on SOW</t>
  </si>
  <si>
    <t>Mallory</t>
  </si>
  <si>
    <t>Worked on SOW and Gantt chart</t>
  </si>
  <si>
    <t>Attended Lecture and Lab</t>
  </si>
  <si>
    <t>Monday</t>
  </si>
  <si>
    <t>Worked on python code and markdowns</t>
  </si>
  <si>
    <t>Worked on lab conents and on Project 5</t>
  </si>
  <si>
    <t>Worked on python code, code used to sort the datasets</t>
  </si>
  <si>
    <t>Tuesday</t>
  </si>
  <si>
    <t>Worked on python code, code use ro create interactive graphs</t>
  </si>
  <si>
    <t>Worked on finalizing timesheet, Gantt chart, SOW, and created game plan to finish project 5</t>
  </si>
  <si>
    <t>Worked on the annotated code document</t>
  </si>
  <si>
    <t>Finalized SOW for submittal</t>
  </si>
  <si>
    <t>Wednesday</t>
  </si>
  <si>
    <t>Worked on methods section and display/explain graphs section on the report</t>
  </si>
  <si>
    <t>Worked on python code and exported figures for report</t>
  </si>
  <si>
    <t>worked on markdowns on python code</t>
  </si>
  <si>
    <t>Worked on annotated code document</t>
  </si>
  <si>
    <t>Wrote and edited the report</t>
  </si>
  <si>
    <t>Total</t>
  </si>
  <si>
    <t>*Hourly Rate Key</t>
  </si>
  <si>
    <t xml:space="preserve">Lilee </t>
  </si>
  <si>
    <t>stanley cups / hour</t>
  </si>
  <si>
    <t>Deej</t>
  </si>
  <si>
    <t>untaxable $/hour</t>
  </si>
  <si>
    <t>ice cream cones / hour</t>
  </si>
  <si>
    <t>box of calligraphy supplies / 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</si>
</sst>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4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2" fillId="0" borderId="0" xfId="1" applyFont="1" applyAlignment="1">
      <alignment horizontal="right"/>
    </xf>
    <xf numFmtId="0" fontId="2" fillId="0" borderId="0" xfId="1" applyFont="1" applyAlignment="1">
      <alignment horizontal="right" vertical="center"/>
    </xf>
    <xf numFmtId="0" fontId="1" fillId="0" borderId="0" xfId="1"/>
    <xf numFmtId="14" fontId="1" fillId="0" borderId="0" xfId="1" applyNumberFormat="1" applyAlignment="1">
      <alignment horizontal="right"/>
    </xf>
    <xf numFmtId="14" fontId="1" fillId="0" borderId="0" xfId="1" applyNumberFormat="1" applyAlignment="1">
      <alignment horizontal="right" vertical="center"/>
    </xf>
    <xf numFmtId="0" fontId="1" fillId="0" borderId="0" xfId="1" applyAlignment="1">
      <alignment horizontal="right"/>
    </xf>
    <xf numFmtId="16" fontId="1" fillId="0" borderId="0" xfId="1" applyNumberFormat="1"/>
    <xf numFmtId="6" fontId="1" fillId="0" borderId="0" xfId="1" applyNumberFormat="1"/>
    <xf numFmtId="0" fontId="3" fillId="0" borderId="0" xfId="0" applyFont="1" applyAlignment="1">
      <alignment horizontal="right"/>
    </xf>
    <xf numFmtId="0" fontId="2" fillId="0" borderId="1" xfId="1" applyFont="1" applyBorder="1"/>
    <xf numFmtId="0" fontId="1" fillId="0" borderId="2" xfId="1" applyBorder="1"/>
    <xf numFmtId="0" fontId="1" fillId="0" borderId="3" xfId="1" applyBorder="1"/>
    <xf numFmtId="0" fontId="1" fillId="0" borderId="4" xfId="1" applyBorder="1"/>
    <xf numFmtId="0" fontId="1" fillId="0" borderId="5" xfId="1" applyBorder="1"/>
    <xf numFmtId="0" fontId="1" fillId="0" borderId="6" xfId="1" applyBorder="1"/>
    <xf numFmtId="0" fontId="1" fillId="0" borderId="7" xfId="1" applyBorder="1"/>
    <xf numFmtId="0" fontId="1" fillId="0" borderId="8" xfId="1" applyBorder="1"/>
    <xf numFmtId="2" fontId="1" fillId="0" borderId="0" xfId="1" applyNumberFormat="1" applyAlignment="1">
      <alignment horizontal="right"/>
    </xf>
    <xf numFmtId="2" fontId="2" fillId="0" borderId="0" xfId="1" applyNumberFormat="1" applyFont="1" applyAlignment="1">
      <alignment horizontal="right"/>
    </xf>
    <xf numFmtId="2" fontId="1" fillId="0" borderId="0" xfId="1" applyNumberFormat="1"/>
  </cellXfs>
  <cellStyles count="2">
    <cellStyle name="Normal" xfId="0" builtinId="0"/>
    <cellStyle name="Normal 2" xfId="1" xr:uid="{75B25888-8B94-4A9B-BBBA-0B0AB930F781}"/>
  </cellStyles>
  <dxfs count="9">
    <dxf>
      <numFmt numFmtId="2" formatCode="0.00"/>
      <alignment horizontal="right" textRotation="0" wrapText="0" indent="0" justifyLastLine="0" shrinkToFit="0" readingOrder="0"/>
    </dxf>
    <dxf>
      <numFmt numFmtId="2" formatCode="0.00"/>
      <alignment horizontal="right" textRotation="0" wrapText="0" indent="0" justifyLastLine="0" shrinkToFit="0" readingOrder="0"/>
    </dxf>
    <dxf>
      <alignment horizontal="right" textRotation="0" wrapText="0" indent="0" justifyLastLine="0" shrinkToFit="0" readingOrder="0"/>
    </dxf>
    <dxf>
      <alignment horizontal="right" textRotation="0" wrapText="0" indent="0" justifyLastLine="0" shrinkToFit="0" readingOrder="0"/>
    </dxf>
    <dxf>
      <alignment horizontal="right" textRotation="0" wrapText="0" indent="0" justifyLastLine="0" shrinkToFit="0" readingOrder="0"/>
    </dxf>
    <dxf>
      <alignment horizontal="right" textRotation="0" wrapText="0" indent="0" justifyLastLine="0" shrinkToFit="0" readingOrder="0"/>
    </dxf>
    <dxf>
      <alignment horizontal="right" textRotation="0" wrapText="0" indent="0" justifyLastLine="0" shrinkToFit="0" readingOrder="0"/>
    </dxf>
    <dxf>
      <alignment horizontal="right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7973E8-FAB5-4845-AFAD-CC116B8976C6}" name="Table1" displayName="Table1" ref="A1:G33" totalsRowShown="0" headerRowDxfId="8" dataDxfId="7">
  <autoFilter ref="A1:G33" xr:uid="{1FA2F8B7-6877-4B9E-B5F2-AC7FEFFFB03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B0E99D01-1F18-4BE0-A33E-2763D53ECDF8}" name="Day of the Week" dataDxfId="6"/>
    <tableColumn id="2" xr3:uid="{DFDACE91-BF90-4C84-9917-866D6A7631C9}" name="Date" dataDxfId="5"/>
    <tableColumn id="3" xr3:uid="{73582CC0-4637-4663-9A02-3F99CDB40519}" name="Person" dataDxfId="4"/>
    <tableColumn id="4" xr3:uid="{AFB489EF-2A4B-4E8D-A833-2430B20AA51F}" name="Hours Worked (hrs)" dataDxfId="3"/>
    <tableColumn id="5" xr3:uid="{92E7519C-25A6-44DD-B152-A8AE215DD966}" name="Tasks Completed" dataDxfId="2"/>
    <tableColumn id="6" xr3:uid="{0DBBE5B1-A25B-4450-9C64-FCFFCEEB41BE}" name="Hourly Rate*" dataDxfId="1">
      <calculatedColumnFormula>IF(C2="Khadijath", $B$39, IF(C2="Lilee",$B$38, IF(C2="Mallory",$B$40,$B$41)))</calculatedColumnFormula>
    </tableColumn>
    <tableColumn id="7" xr3:uid="{6A03A380-4FD9-4FFD-9958-C44D537BBC34}" name="Total Compensation*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E647F-7299-4834-953A-A160FBDB8116}">
  <dimension ref="A1:M41"/>
  <sheetViews>
    <sheetView tabSelected="1" topLeftCell="C14" workbookViewId="0">
      <selection activeCell="E32" sqref="E32"/>
    </sheetView>
  </sheetViews>
  <sheetFormatPr defaultRowHeight="14.25" x14ac:dyDescent="0.45"/>
  <cols>
    <col min="1" max="1" width="16.125" style="3" customWidth="1"/>
    <col min="2" max="2" width="11.125" style="3" customWidth="1"/>
    <col min="3" max="3" width="12.875" style="3" customWidth="1"/>
    <col min="4" max="4" width="21.5" style="3" customWidth="1"/>
    <col min="5" max="5" width="41.5" style="3" customWidth="1"/>
    <col min="6" max="6" width="20" style="20" customWidth="1"/>
    <col min="7" max="7" width="31.75" style="20" customWidth="1"/>
    <col min="8" max="16384" width="9" style="3"/>
  </cols>
  <sheetData>
    <row r="1" spans="1:7" x14ac:dyDescent="0.4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9" t="s">
        <v>5</v>
      </c>
      <c r="G1" s="19" t="s">
        <v>6</v>
      </c>
    </row>
    <row r="2" spans="1:7" x14ac:dyDescent="0.45">
      <c r="A2" s="4" t="s">
        <v>7</v>
      </c>
      <c r="B2" s="5">
        <v>45772</v>
      </c>
      <c r="C2" s="6" t="s">
        <v>8</v>
      </c>
      <c r="D2" s="6">
        <v>1</v>
      </c>
      <c r="E2" s="6" t="s">
        <v>9</v>
      </c>
      <c r="F2" s="18">
        <f t="shared" ref="F2:F32" si="0">IF(C2="Khadijath", $B$39, IF(C2="Lilee",$B$38, IF(C2="Mallory",$B$40,$B$41)))</f>
        <v>50</v>
      </c>
      <c r="G2" s="18">
        <f>F2*D2</f>
        <v>50</v>
      </c>
    </row>
    <row r="3" spans="1:7" x14ac:dyDescent="0.45">
      <c r="A3" s="4" t="s">
        <v>7</v>
      </c>
      <c r="B3" s="4">
        <v>45772</v>
      </c>
      <c r="C3" s="6" t="s">
        <v>10</v>
      </c>
      <c r="D3" s="6">
        <v>1</v>
      </c>
      <c r="E3" s="6" t="s">
        <v>11</v>
      </c>
      <c r="F3" s="18">
        <f t="shared" si="0"/>
        <v>20</v>
      </c>
      <c r="G3" s="18">
        <f t="shared" ref="G3:G32" si="1">F3*D3</f>
        <v>20</v>
      </c>
    </row>
    <row r="4" spans="1:7" x14ac:dyDescent="0.45">
      <c r="A4" s="6" t="s">
        <v>7</v>
      </c>
      <c r="B4" s="4">
        <v>45772</v>
      </c>
      <c r="C4" s="6" t="s">
        <v>12</v>
      </c>
      <c r="D4" s="6">
        <v>2</v>
      </c>
      <c r="E4" s="6" t="s">
        <v>13</v>
      </c>
      <c r="F4" s="18">
        <f t="shared" si="0"/>
        <v>1</v>
      </c>
      <c r="G4" s="18">
        <f t="shared" si="1"/>
        <v>2</v>
      </c>
    </row>
    <row r="5" spans="1:7" x14ac:dyDescent="0.45">
      <c r="A5" s="6" t="s">
        <v>7</v>
      </c>
      <c r="B5" s="4">
        <v>45772</v>
      </c>
      <c r="C5" s="6" t="s">
        <v>14</v>
      </c>
      <c r="D5" s="6">
        <v>2</v>
      </c>
      <c r="E5" s="6" t="s">
        <v>15</v>
      </c>
      <c r="F5" s="18">
        <f t="shared" si="0"/>
        <v>2</v>
      </c>
      <c r="G5" s="18">
        <f t="shared" si="1"/>
        <v>4</v>
      </c>
    </row>
    <row r="6" spans="1:7" x14ac:dyDescent="0.45">
      <c r="A6" s="6" t="s">
        <v>7</v>
      </c>
      <c r="B6" s="4">
        <v>45772</v>
      </c>
      <c r="C6" s="6" t="s">
        <v>8</v>
      </c>
      <c r="D6" s="6">
        <v>2.5</v>
      </c>
      <c r="E6" s="6" t="s">
        <v>16</v>
      </c>
      <c r="F6" s="18">
        <f t="shared" si="0"/>
        <v>50</v>
      </c>
      <c r="G6" s="18">
        <f t="shared" si="1"/>
        <v>125</v>
      </c>
    </row>
    <row r="7" spans="1:7" x14ac:dyDescent="0.45">
      <c r="A7" s="6" t="s">
        <v>7</v>
      </c>
      <c r="B7" s="4">
        <v>45772</v>
      </c>
      <c r="C7" s="6" t="s">
        <v>10</v>
      </c>
      <c r="D7" s="6">
        <v>2.5</v>
      </c>
      <c r="E7" s="9" t="s">
        <v>16</v>
      </c>
      <c r="F7" s="18">
        <f t="shared" si="0"/>
        <v>20</v>
      </c>
      <c r="G7" s="18">
        <f t="shared" si="1"/>
        <v>50</v>
      </c>
    </row>
    <row r="8" spans="1:7" x14ac:dyDescent="0.45">
      <c r="A8" s="6" t="s">
        <v>7</v>
      </c>
      <c r="B8" s="4">
        <v>45772</v>
      </c>
      <c r="C8" s="6" t="s">
        <v>12</v>
      </c>
      <c r="D8" s="6">
        <v>2.5</v>
      </c>
      <c r="E8" s="9" t="s">
        <v>16</v>
      </c>
      <c r="F8" s="18">
        <f t="shared" si="0"/>
        <v>1</v>
      </c>
      <c r="G8" s="18">
        <f t="shared" si="1"/>
        <v>2.5</v>
      </c>
    </row>
    <row r="9" spans="1:7" x14ac:dyDescent="0.45">
      <c r="A9" s="6" t="s">
        <v>7</v>
      </c>
      <c r="B9" s="4">
        <v>45772</v>
      </c>
      <c r="C9" s="6" t="s">
        <v>14</v>
      </c>
      <c r="D9" s="6">
        <v>2.5</v>
      </c>
      <c r="E9" s="9" t="s">
        <v>16</v>
      </c>
      <c r="F9" s="18">
        <f t="shared" si="0"/>
        <v>2</v>
      </c>
      <c r="G9" s="18">
        <f t="shared" si="1"/>
        <v>5</v>
      </c>
    </row>
    <row r="10" spans="1:7" x14ac:dyDescent="0.45">
      <c r="A10" s="6" t="s">
        <v>17</v>
      </c>
      <c r="B10" s="4">
        <v>45775</v>
      </c>
      <c r="C10" s="6" t="s">
        <v>12</v>
      </c>
      <c r="D10" s="6">
        <v>1</v>
      </c>
      <c r="E10" s="6" t="s">
        <v>18</v>
      </c>
      <c r="F10" s="18">
        <f t="shared" si="0"/>
        <v>1</v>
      </c>
      <c r="G10" s="18">
        <f t="shared" si="1"/>
        <v>1</v>
      </c>
    </row>
    <row r="11" spans="1:7" x14ac:dyDescent="0.45">
      <c r="A11" s="6" t="s">
        <v>7</v>
      </c>
      <c r="B11" s="4">
        <v>45779</v>
      </c>
      <c r="C11" s="6" t="s">
        <v>8</v>
      </c>
      <c r="D11" s="6">
        <v>2.5</v>
      </c>
      <c r="E11" s="6" t="s">
        <v>16</v>
      </c>
      <c r="F11" s="18">
        <f t="shared" si="0"/>
        <v>50</v>
      </c>
      <c r="G11" s="18">
        <f t="shared" si="1"/>
        <v>125</v>
      </c>
    </row>
    <row r="12" spans="1:7" x14ac:dyDescent="0.45">
      <c r="A12" s="6" t="s">
        <v>7</v>
      </c>
      <c r="B12" s="4">
        <v>45779</v>
      </c>
      <c r="C12" s="6" t="s">
        <v>10</v>
      </c>
      <c r="D12" s="6">
        <v>2.5</v>
      </c>
      <c r="E12" s="9" t="s">
        <v>16</v>
      </c>
      <c r="F12" s="18">
        <f t="shared" si="0"/>
        <v>20</v>
      </c>
      <c r="G12" s="18">
        <f t="shared" si="1"/>
        <v>50</v>
      </c>
    </row>
    <row r="13" spans="1:7" x14ac:dyDescent="0.45">
      <c r="A13" s="6" t="s">
        <v>7</v>
      </c>
      <c r="B13" s="4">
        <v>45779</v>
      </c>
      <c r="C13" s="6" t="s">
        <v>12</v>
      </c>
      <c r="D13" s="6">
        <v>2.5</v>
      </c>
      <c r="E13" s="9" t="s">
        <v>16</v>
      </c>
      <c r="F13" s="18">
        <f t="shared" si="0"/>
        <v>1</v>
      </c>
      <c r="G13" s="18">
        <f t="shared" si="1"/>
        <v>2.5</v>
      </c>
    </row>
    <row r="14" spans="1:7" x14ac:dyDescent="0.45">
      <c r="A14" s="6" t="s">
        <v>7</v>
      </c>
      <c r="B14" s="4">
        <v>45779</v>
      </c>
      <c r="C14" s="6" t="s">
        <v>14</v>
      </c>
      <c r="D14" s="6">
        <v>2.5</v>
      </c>
      <c r="E14" s="9" t="s">
        <v>16</v>
      </c>
      <c r="F14" s="18">
        <f t="shared" si="0"/>
        <v>2</v>
      </c>
      <c r="G14" s="18">
        <f t="shared" si="1"/>
        <v>5</v>
      </c>
    </row>
    <row r="15" spans="1:7" x14ac:dyDescent="0.45">
      <c r="A15" s="6" t="s">
        <v>7</v>
      </c>
      <c r="B15" s="4">
        <v>45779</v>
      </c>
      <c r="C15" s="6" t="s">
        <v>8</v>
      </c>
      <c r="D15" s="6">
        <v>1</v>
      </c>
      <c r="E15" s="6" t="s">
        <v>19</v>
      </c>
      <c r="F15" s="18">
        <f t="shared" si="0"/>
        <v>50</v>
      </c>
      <c r="G15" s="18">
        <f t="shared" si="1"/>
        <v>50</v>
      </c>
    </row>
    <row r="16" spans="1:7" x14ac:dyDescent="0.45">
      <c r="A16" s="6" t="s">
        <v>7</v>
      </c>
      <c r="B16" s="4">
        <v>45779</v>
      </c>
      <c r="C16" s="6" t="s">
        <v>14</v>
      </c>
      <c r="D16" s="6">
        <v>1</v>
      </c>
      <c r="E16" s="6" t="s">
        <v>19</v>
      </c>
      <c r="F16" s="18">
        <f t="shared" si="0"/>
        <v>2</v>
      </c>
      <c r="G16" s="18">
        <f t="shared" si="1"/>
        <v>2</v>
      </c>
    </row>
    <row r="17" spans="1:13" x14ac:dyDescent="0.45">
      <c r="A17" s="6" t="s">
        <v>17</v>
      </c>
      <c r="B17" s="4">
        <v>45782</v>
      </c>
      <c r="C17" s="6" t="s">
        <v>8</v>
      </c>
      <c r="D17" s="6">
        <v>1</v>
      </c>
      <c r="E17" s="6" t="s">
        <v>20</v>
      </c>
      <c r="F17" s="18">
        <f t="shared" si="0"/>
        <v>50</v>
      </c>
      <c r="G17" s="18">
        <f t="shared" si="1"/>
        <v>50</v>
      </c>
    </row>
    <row r="18" spans="1:13" x14ac:dyDescent="0.45">
      <c r="A18" s="6" t="s">
        <v>21</v>
      </c>
      <c r="B18" s="4">
        <v>45783</v>
      </c>
      <c r="C18" s="6" t="s">
        <v>8</v>
      </c>
      <c r="D18" s="6">
        <v>2.5</v>
      </c>
      <c r="E18" s="6" t="s">
        <v>22</v>
      </c>
      <c r="F18" s="18">
        <f t="shared" si="0"/>
        <v>50</v>
      </c>
      <c r="G18" s="18">
        <f t="shared" si="1"/>
        <v>125</v>
      </c>
    </row>
    <row r="19" spans="1:13" x14ac:dyDescent="0.45">
      <c r="A19" s="6" t="s">
        <v>21</v>
      </c>
      <c r="B19" s="4">
        <v>45783</v>
      </c>
      <c r="C19" s="6" t="s">
        <v>10</v>
      </c>
      <c r="D19" s="6">
        <v>2</v>
      </c>
      <c r="E19" s="6" t="s">
        <v>23</v>
      </c>
      <c r="F19" s="18">
        <f t="shared" si="0"/>
        <v>20</v>
      </c>
      <c r="G19" s="18">
        <f t="shared" si="1"/>
        <v>40</v>
      </c>
      <c r="H19" s="7"/>
      <c r="L19" s="8"/>
      <c r="M19" s="8"/>
    </row>
    <row r="20" spans="1:13" x14ac:dyDescent="0.45">
      <c r="A20" s="6" t="s">
        <v>21</v>
      </c>
      <c r="B20" s="4">
        <v>45783</v>
      </c>
      <c r="C20" s="6" t="s">
        <v>14</v>
      </c>
      <c r="D20" s="6">
        <v>1</v>
      </c>
      <c r="E20" s="6" t="s">
        <v>24</v>
      </c>
      <c r="F20" s="18">
        <f t="shared" si="0"/>
        <v>2</v>
      </c>
      <c r="G20" s="18">
        <f t="shared" si="1"/>
        <v>2</v>
      </c>
      <c r="H20" s="7"/>
      <c r="M20" s="8"/>
    </row>
    <row r="21" spans="1:13" x14ac:dyDescent="0.45">
      <c r="A21" s="6" t="s">
        <v>21</v>
      </c>
      <c r="B21" s="4">
        <v>45783</v>
      </c>
      <c r="C21" s="6" t="s">
        <v>12</v>
      </c>
      <c r="D21" s="6">
        <v>2</v>
      </c>
      <c r="E21" s="6" t="s">
        <v>25</v>
      </c>
      <c r="F21" s="18">
        <f t="shared" si="0"/>
        <v>1</v>
      </c>
      <c r="G21" s="18">
        <f t="shared" si="1"/>
        <v>2</v>
      </c>
      <c r="H21" s="7"/>
      <c r="L21" s="8"/>
      <c r="M21" s="8"/>
    </row>
    <row r="22" spans="1:13" x14ac:dyDescent="0.45">
      <c r="A22" s="6" t="s">
        <v>26</v>
      </c>
      <c r="B22" s="4">
        <v>45784</v>
      </c>
      <c r="C22" s="6" t="s">
        <v>10</v>
      </c>
      <c r="D22" s="6">
        <v>1.5</v>
      </c>
      <c r="E22" s="6" t="s">
        <v>27</v>
      </c>
      <c r="F22" s="18">
        <f t="shared" si="0"/>
        <v>20</v>
      </c>
      <c r="G22" s="18">
        <f t="shared" si="1"/>
        <v>30</v>
      </c>
      <c r="H22" s="7"/>
      <c r="L22" s="8"/>
      <c r="M22" s="8"/>
    </row>
    <row r="23" spans="1:13" x14ac:dyDescent="0.45">
      <c r="A23" s="6" t="s">
        <v>26</v>
      </c>
      <c r="B23" s="4">
        <v>45784</v>
      </c>
      <c r="C23" s="6" t="s">
        <v>8</v>
      </c>
      <c r="D23" s="6">
        <v>5</v>
      </c>
      <c r="E23" s="6" t="s">
        <v>28</v>
      </c>
      <c r="F23" s="18">
        <f t="shared" si="0"/>
        <v>50</v>
      </c>
      <c r="G23" s="18">
        <f t="shared" si="1"/>
        <v>250</v>
      </c>
      <c r="H23" s="7"/>
      <c r="L23" s="8"/>
      <c r="M23" s="8"/>
    </row>
    <row r="24" spans="1:13" x14ac:dyDescent="0.45">
      <c r="A24" s="6" t="s">
        <v>7</v>
      </c>
      <c r="B24" s="4">
        <v>45786</v>
      </c>
      <c r="C24" s="6" t="s">
        <v>10</v>
      </c>
      <c r="D24" s="6">
        <v>1.5</v>
      </c>
      <c r="E24" s="6" t="s">
        <v>16</v>
      </c>
      <c r="F24" s="18">
        <f t="shared" si="0"/>
        <v>20</v>
      </c>
      <c r="G24" s="18">
        <f t="shared" si="1"/>
        <v>30</v>
      </c>
    </row>
    <row r="25" spans="1:13" x14ac:dyDescent="0.45">
      <c r="A25" s="6" t="s">
        <v>7</v>
      </c>
      <c r="B25" s="4">
        <v>45786</v>
      </c>
      <c r="C25" s="6" t="s">
        <v>8</v>
      </c>
      <c r="D25" s="6">
        <v>1</v>
      </c>
      <c r="E25" s="9" t="s">
        <v>29</v>
      </c>
      <c r="F25" s="18">
        <f t="shared" si="0"/>
        <v>50</v>
      </c>
      <c r="G25" s="18">
        <f t="shared" si="1"/>
        <v>50</v>
      </c>
    </row>
    <row r="26" spans="1:13" x14ac:dyDescent="0.45">
      <c r="A26" s="6" t="s">
        <v>7</v>
      </c>
      <c r="B26" s="4">
        <v>45786</v>
      </c>
      <c r="C26" s="6" t="s">
        <v>14</v>
      </c>
      <c r="D26" s="6">
        <v>1.5</v>
      </c>
      <c r="E26" s="9" t="s">
        <v>16</v>
      </c>
      <c r="F26" s="18">
        <f t="shared" si="0"/>
        <v>2</v>
      </c>
      <c r="G26" s="18">
        <f t="shared" si="1"/>
        <v>3</v>
      </c>
    </row>
    <row r="27" spans="1:13" x14ac:dyDescent="0.45">
      <c r="A27" s="6" t="s">
        <v>7</v>
      </c>
      <c r="B27" s="4">
        <v>45786</v>
      </c>
      <c r="C27" s="6" t="s">
        <v>8</v>
      </c>
      <c r="D27" s="6">
        <v>2.5</v>
      </c>
      <c r="E27" s="9" t="s">
        <v>16</v>
      </c>
      <c r="F27" s="18">
        <f t="shared" si="0"/>
        <v>50</v>
      </c>
      <c r="G27" s="18">
        <f t="shared" si="1"/>
        <v>125</v>
      </c>
    </row>
    <row r="28" spans="1:13" x14ac:dyDescent="0.45">
      <c r="A28" s="6" t="s">
        <v>7</v>
      </c>
      <c r="B28" s="4">
        <v>45786</v>
      </c>
      <c r="C28" s="6" t="s">
        <v>14</v>
      </c>
      <c r="D28" s="6">
        <v>2</v>
      </c>
      <c r="E28" s="6" t="s">
        <v>30</v>
      </c>
      <c r="F28" s="18">
        <f t="shared" si="0"/>
        <v>2</v>
      </c>
      <c r="G28" s="18">
        <f t="shared" si="1"/>
        <v>4</v>
      </c>
    </row>
    <row r="29" spans="1:13" x14ac:dyDescent="0.45">
      <c r="A29" s="6" t="s">
        <v>7</v>
      </c>
      <c r="B29" s="4">
        <v>45786</v>
      </c>
      <c r="C29" s="6" t="s">
        <v>10</v>
      </c>
      <c r="D29" s="6">
        <v>5</v>
      </c>
      <c r="E29" s="6" t="s">
        <v>31</v>
      </c>
      <c r="F29" s="18">
        <f t="shared" si="0"/>
        <v>20</v>
      </c>
      <c r="G29" s="18">
        <f t="shared" si="1"/>
        <v>100</v>
      </c>
    </row>
    <row r="30" spans="1:13" x14ac:dyDescent="0.45">
      <c r="A30" s="6" t="s">
        <v>7</v>
      </c>
      <c r="B30" s="4">
        <v>45786</v>
      </c>
      <c r="C30" s="6" t="s">
        <v>8</v>
      </c>
      <c r="D30" s="6">
        <v>5</v>
      </c>
      <c r="E30" s="6" t="s">
        <v>31</v>
      </c>
      <c r="F30" s="18">
        <f t="shared" si="0"/>
        <v>50</v>
      </c>
      <c r="G30" s="18">
        <f t="shared" si="1"/>
        <v>250</v>
      </c>
    </row>
    <row r="31" spans="1:13" x14ac:dyDescent="0.45">
      <c r="A31" s="6" t="s">
        <v>7</v>
      </c>
      <c r="B31" s="4">
        <v>45786</v>
      </c>
      <c r="C31" s="6" t="s">
        <v>14</v>
      </c>
      <c r="D31" s="6">
        <v>5</v>
      </c>
      <c r="E31" s="6" t="s">
        <v>31</v>
      </c>
      <c r="F31" s="18">
        <f t="shared" si="0"/>
        <v>2</v>
      </c>
      <c r="G31" s="18">
        <f t="shared" si="1"/>
        <v>10</v>
      </c>
    </row>
    <row r="32" spans="1:13" x14ac:dyDescent="0.45">
      <c r="A32" s="6" t="s">
        <v>7</v>
      </c>
      <c r="B32" s="4">
        <v>45786</v>
      </c>
      <c r="C32" s="6" t="s">
        <v>12</v>
      </c>
      <c r="D32" s="6">
        <v>2</v>
      </c>
      <c r="E32" s="6" t="s">
        <v>31</v>
      </c>
      <c r="F32" s="18">
        <f t="shared" si="0"/>
        <v>1</v>
      </c>
      <c r="G32" s="18">
        <f t="shared" si="1"/>
        <v>2</v>
      </c>
    </row>
    <row r="33" spans="1:7" x14ac:dyDescent="0.45">
      <c r="A33" s="6" t="s">
        <v>32</v>
      </c>
      <c r="B33" s="6"/>
      <c r="C33" s="6"/>
      <c r="D33" s="6"/>
      <c r="E33" s="6"/>
      <c r="F33" s="18"/>
      <c r="G33" s="18">
        <f>SUM(G2:G32)</f>
        <v>1567</v>
      </c>
    </row>
    <row r="34" spans="1:7" x14ac:dyDescent="0.45">
      <c r="A34" s="6"/>
      <c r="B34" s="6"/>
      <c r="C34" s="6"/>
      <c r="D34" s="6"/>
      <c r="E34" s="6"/>
      <c r="F34" s="18"/>
      <c r="G34" s="18"/>
    </row>
    <row r="35" spans="1:7" x14ac:dyDescent="0.45">
      <c r="A35" s="6"/>
      <c r="B35" s="6"/>
      <c r="C35" s="6"/>
      <c r="D35" s="6"/>
      <c r="E35" s="6"/>
      <c r="F35" s="18"/>
      <c r="G35" s="18"/>
    </row>
    <row r="37" spans="1:7" x14ac:dyDescent="0.45">
      <c r="A37" s="10" t="s">
        <v>33</v>
      </c>
      <c r="B37" s="11"/>
      <c r="C37" s="11"/>
      <c r="D37" s="12"/>
    </row>
    <row r="38" spans="1:7" x14ac:dyDescent="0.45">
      <c r="A38" s="13" t="s">
        <v>34</v>
      </c>
      <c r="B38" s="3">
        <v>20</v>
      </c>
      <c r="C38" s="3" t="s">
        <v>35</v>
      </c>
      <c r="D38" s="14"/>
    </row>
    <row r="39" spans="1:7" x14ac:dyDescent="0.45">
      <c r="A39" s="13" t="s">
        <v>36</v>
      </c>
      <c r="B39" s="3">
        <v>50</v>
      </c>
      <c r="C39" s="3" t="s">
        <v>37</v>
      </c>
      <c r="D39" s="14"/>
    </row>
    <row r="40" spans="1:7" x14ac:dyDescent="0.45">
      <c r="A40" s="13" t="s">
        <v>14</v>
      </c>
      <c r="B40" s="3">
        <v>2</v>
      </c>
      <c r="C40" s="3" t="s">
        <v>38</v>
      </c>
      <c r="D40" s="14"/>
    </row>
    <row r="41" spans="1:7" x14ac:dyDescent="0.45">
      <c r="A41" s="15" t="s">
        <v>12</v>
      </c>
      <c r="B41" s="16">
        <v>1</v>
      </c>
      <c r="C41" s="16" t="s">
        <v>39</v>
      </c>
      <c r="D41" s="17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Mallory Williams</dc:creator>
  <cp:keywords/>
  <dc:description/>
  <cp:lastModifiedBy>Khadijath Diaby</cp:lastModifiedBy>
  <cp:revision/>
  <dcterms:created xsi:type="dcterms:W3CDTF">2025-04-24T15:48:23Z</dcterms:created>
  <dcterms:modified xsi:type="dcterms:W3CDTF">2025-05-10T04:52:18Z</dcterms:modified>
  <cp:category/>
  <cp:contentStatus/>
</cp:coreProperties>
</file>